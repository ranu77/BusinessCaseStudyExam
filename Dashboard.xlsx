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cc23cbce2bb7a332/Documents/"/>
    </mc:Choice>
  </mc:AlternateContent>
  <xr:revisionPtr revIDLastSave="101" documentId="8_{97123161-F08A-45B9-A1D5-20C81D4FFD80}" xr6:coauthVersionLast="47" xr6:coauthVersionMax="47" xr10:uidLastSave="{E08EF825-6B59-4445-A887-25E0D5D7B59E}"/>
  <bookViews>
    <workbookView xWindow="-108" yWindow="-108" windowWidth="23256" windowHeight="12456" firstSheet="1" activeTab="5" xr2:uid="{885DADEB-62E7-452B-B64F-7FA317FDFE3F}"/>
  </bookViews>
  <sheets>
    <sheet name="Sales by Region" sheetId="2" r:id="rId1"/>
    <sheet name="Top 5 Products" sheetId="3" r:id="rId2"/>
    <sheet name="Sales Channel Split" sheetId="4" r:id="rId3"/>
    <sheet name="Monthly Sales Trend" sheetId="5" r:id="rId4"/>
    <sheet name="Category Trend" sheetId="6" r:id="rId5"/>
    <sheet name="DashBoard" sheetId="7" r:id="rId6"/>
    <sheet name="DataSet" sheetId="1" r:id="rId7"/>
  </sheets>
  <definedNames>
    <definedName name="Slicer_Date">#N/A</definedName>
    <definedName name="Slicer_Region">#N/A</definedName>
    <definedName name="Slicer_SalesChannel">#N/A</definedName>
  </definedNames>
  <calcPr calcId="191029"/>
  <pivotCaches>
    <pivotCache cacheId="1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5" i="7" l="1"/>
  <c r="G5" i="7"/>
  <c r="Q5" i="7"/>
  <c r="B5" i="7"/>
</calcChain>
</file>

<file path=xl/sharedStrings.xml><?xml version="1.0" encoding="utf-8"?>
<sst xmlns="http://schemas.openxmlformats.org/spreadsheetml/2006/main" count="397" uniqueCount="151">
  <si>
    <t>TransactionID</t>
  </si>
  <si>
    <t>Date</t>
  </si>
  <si>
    <t>ProductName</t>
  </si>
  <si>
    <t>Category</t>
  </si>
  <si>
    <t>Region</t>
  </si>
  <si>
    <t>SalesChannel</t>
  </si>
  <si>
    <t>Quantity</t>
  </si>
  <si>
    <t>UnitPrice</t>
  </si>
  <si>
    <t>TotalAmount</t>
  </si>
  <si>
    <t>PaymentMode</t>
  </si>
  <si>
    <t>CustomerID</t>
  </si>
  <si>
    <t>T1001</t>
  </si>
  <si>
    <t>Toaster</t>
  </si>
  <si>
    <t>Home Appliances</t>
  </si>
  <si>
    <t>East</t>
  </si>
  <si>
    <t>Online</t>
  </si>
  <si>
    <t>Cash</t>
  </si>
  <si>
    <t>C157</t>
  </si>
  <si>
    <t>T1002</t>
  </si>
  <si>
    <t>Tablet</t>
  </si>
  <si>
    <t>Electronics</t>
  </si>
  <si>
    <t>South</t>
  </si>
  <si>
    <t>Net Banking</t>
  </si>
  <si>
    <t>C128</t>
  </si>
  <si>
    <t>T1003</t>
  </si>
  <si>
    <t>North</t>
  </si>
  <si>
    <t>C139</t>
  </si>
  <si>
    <t>T1004</t>
  </si>
  <si>
    <t>Offline</t>
  </si>
  <si>
    <t>UPI</t>
  </si>
  <si>
    <t>C133</t>
  </si>
  <si>
    <t>T1005</t>
  </si>
  <si>
    <t>Laptop</t>
  </si>
  <si>
    <t>C110</t>
  </si>
  <si>
    <t>T1006</t>
  </si>
  <si>
    <t>Lipstick</t>
  </si>
  <si>
    <t>Beauty</t>
  </si>
  <si>
    <t>West</t>
  </si>
  <si>
    <t>C145</t>
  </si>
  <si>
    <t>T1007</t>
  </si>
  <si>
    <t>Tennis Racket</t>
  </si>
  <si>
    <t>Sports</t>
  </si>
  <si>
    <t>Credit Card</t>
  </si>
  <si>
    <t>C112</t>
  </si>
  <si>
    <t>T1008</t>
  </si>
  <si>
    <t>Headphones</t>
  </si>
  <si>
    <t>C189</t>
  </si>
  <si>
    <t>T1009</t>
  </si>
  <si>
    <t>Jeans</t>
  </si>
  <si>
    <t>Fashion</t>
  </si>
  <si>
    <t>C150</t>
  </si>
  <si>
    <t>T1010</t>
  </si>
  <si>
    <t>Blender</t>
  </si>
  <si>
    <t>C167</t>
  </si>
  <si>
    <t>T1011</t>
  </si>
  <si>
    <t>Yoga Mat</t>
  </si>
  <si>
    <t>C130</t>
  </si>
  <si>
    <t>T1012</t>
  </si>
  <si>
    <t>Smartphone</t>
  </si>
  <si>
    <t>C122</t>
  </si>
  <si>
    <t>T1013</t>
  </si>
  <si>
    <t>T-Shirt</t>
  </si>
  <si>
    <t>C140</t>
  </si>
  <si>
    <t>T1014</t>
  </si>
  <si>
    <t>Foundation</t>
  </si>
  <si>
    <t>C155</t>
  </si>
  <si>
    <t>T1015</t>
  </si>
  <si>
    <t>Microwave</t>
  </si>
  <si>
    <t>C177</t>
  </si>
  <si>
    <t>T1016</t>
  </si>
  <si>
    <t>Jacket</t>
  </si>
  <si>
    <t>C118</t>
  </si>
  <si>
    <t>T1017</t>
  </si>
  <si>
    <t>Dumbbells</t>
  </si>
  <si>
    <t>C161</t>
  </si>
  <si>
    <t>T1018</t>
  </si>
  <si>
    <t>Perfume</t>
  </si>
  <si>
    <t>C192</t>
  </si>
  <si>
    <t>T1019</t>
  </si>
  <si>
    <t>Sneakers</t>
  </si>
  <si>
    <t>C144</t>
  </si>
  <si>
    <t>T1020</t>
  </si>
  <si>
    <t>Coffee Maker</t>
  </si>
  <si>
    <t>C105</t>
  </si>
  <si>
    <t>T1021</t>
  </si>
  <si>
    <t>T1022</t>
  </si>
  <si>
    <t>C180</t>
  </si>
  <si>
    <t>T1023</t>
  </si>
  <si>
    <t>C160</t>
  </si>
  <si>
    <t>T1024</t>
  </si>
  <si>
    <t>C115</t>
  </si>
  <si>
    <t>T1025</t>
  </si>
  <si>
    <t>C142</t>
  </si>
  <si>
    <t>T1026</t>
  </si>
  <si>
    <t>C199</t>
  </si>
  <si>
    <t>T1027</t>
  </si>
  <si>
    <t>C125</t>
  </si>
  <si>
    <t>T1028</t>
  </si>
  <si>
    <t>C111</t>
  </si>
  <si>
    <t>T1029</t>
  </si>
  <si>
    <t>C151</t>
  </si>
  <si>
    <t>T1030</t>
  </si>
  <si>
    <t>C168</t>
  </si>
  <si>
    <t>T1031</t>
  </si>
  <si>
    <t>C175</t>
  </si>
  <si>
    <t>T1032</t>
  </si>
  <si>
    <t>C102</t>
  </si>
  <si>
    <t>T1033</t>
  </si>
  <si>
    <t>C148</t>
  </si>
  <si>
    <t>T1034</t>
  </si>
  <si>
    <t>C195</t>
  </si>
  <si>
    <t>T1035</t>
  </si>
  <si>
    <t>C188</t>
  </si>
  <si>
    <t>T1036</t>
  </si>
  <si>
    <t>T1037</t>
  </si>
  <si>
    <t>Moisturizer</t>
  </si>
  <si>
    <t>C156</t>
  </si>
  <si>
    <t>T1038</t>
  </si>
  <si>
    <t>Football</t>
  </si>
  <si>
    <t>C169</t>
  </si>
  <si>
    <t>T1039</t>
  </si>
  <si>
    <t>C172</t>
  </si>
  <si>
    <t>T1040</t>
  </si>
  <si>
    <t>C120</t>
  </si>
  <si>
    <t>T1041</t>
  </si>
  <si>
    <t>C149</t>
  </si>
  <si>
    <t>T1042</t>
  </si>
  <si>
    <t>C190</t>
  </si>
  <si>
    <t>T1043</t>
  </si>
  <si>
    <t>C174</t>
  </si>
  <si>
    <t>T1044</t>
  </si>
  <si>
    <t>C109</t>
  </si>
  <si>
    <t>T1045</t>
  </si>
  <si>
    <t>C153</t>
  </si>
  <si>
    <t>T1046</t>
  </si>
  <si>
    <t>C185</t>
  </si>
  <si>
    <t>T1047</t>
  </si>
  <si>
    <t>C171</t>
  </si>
  <si>
    <t>T1048</t>
  </si>
  <si>
    <t>C116</t>
  </si>
  <si>
    <t>T1049</t>
  </si>
  <si>
    <t>C146</t>
  </si>
  <si>
    <t>T1050</t>
  </si>
  <si>
    <t>C191</t>
  </si>
  <si>
    <t>Row Labels</t>
  </si>
  <si>
    <t>Grand Total</t>
  </si>
  <si>
    <t>Sum of TotalAmount</t>
  </si>
  <si>
    <t>Jan</t>
  </si>
  <si>
    <t>Feb</t>
  </si>
  <si>
    <t>Mar</t>
  </si>
  <si>
    <t>"Strategy Insights from Multi-Region Retail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</si>
</sst>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4"/>
      <color theme="8" tint="-0.249977111117893"/>
      <name val="Calibri"/>
      <family val="2"/>
      <scheme val="minor"/>
    </font>
    <font>
      <b/>
      <sz val="16"/>
      <color theme="8" tint="-0.499984740745262"/>
      <name val="Calibri"/>
      <family val="2"/>
      <scheme val="minor"/>
    </font>
  </fonts>
  <fills count="4">
    <fill>
      <patternFill patternType="none"/>
    </fill>
    <fill>
      <patternFill patternType="gray125"/>
    </fill>
    <fill>
      <patternFill patternType="solid">
        <fgColor theme="8" tint="0.59999389629810485"/>
        <bgColor indexed="64"/>
      </patternFill>
    </fill>
    <fill>
      <patternFill patternType="solid">
        <fgColor theme="4" tint="0.399975585192419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2">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 fillId="0" borderId="0" xfId="0" applyFont="1" applyAlignment="1">
      <alignment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0"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1" xfId="0" applyFont="1" applyFill="1" applyBorder="1" applyAlignment="1">
      <alignment horizontal="center" vertical="center"/>
    </xf>
    <xf numFmtId="0" fontId="2" fillId="3" borderId="10" xfId="0" applyFont="1" applyFill="1" applyBorder="1" applyAlignment="1">
      <alignment horizontal="center" vertical="center"/>
    </xf>
    <xf numFmtId="0" fontId="2" fillId="3" borderId="11" xfId="0" applyFont="1" applyFill="1" applyBorder="1" applyAlignment="1">
      <alignment horizontal="center" vertical="center"/>
    </xf>
    <xf numFmtId="0" fontId="2" fillId="3" borderId="12" xfId="0" applyFont="1" applyFill="1" applyBorder="1" applyAlignment="1">
      <alignment horizontal="center" vertical="center"/>
    </xf>
    <xf numFmtId="0" fontId="2" fillId="3" borderId="13" xfId="0" applyFont="1" applyFill="1" applyBorder="1" applyAlignment="1">
      <alignment horizontal="center" vertical="center"/>
    </xf>
    <xf numFmtId="0" fontId="2" fillId="3" borderId="14" xfId="0" applyFont="1" applyFill="1" applyBorder="1" applyAlignment="1">
      <alignment horizontal="center" vertical="center"/>
    </xf>
    <xf numFmtId="0" fontId="2" fillId="3" borderId="15"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 by Region!PivotTable1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'Sales by Region'!$B$3</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cat>
            <c:strRef>
              <c:f>'Sales by Region'!$A$4:$A$8</c:f>
              <c:strCache>
                <c:ptCount val="4"/>
                <c:pt idx="0">
                  <c:v>East</c:v>
                </c:pt>
                <c:pt idx="1">
                  <c:v>North</c:v>
                </c:pt>
                <c:pt idx="2">
                  <c:v>South</c:v>
                </c:pt>
                <c:pt idx="3">
                  <c:v>West</c:v>
                </c:pt>
              </c:strCache>
            </c:strRef>
          </c:cat>
          <c:val>
            <c:numRef>
              <c:f>'Sales by Region'!$B$4:$B$8</c:f>
              <c:numCache>
                <c:formatCode>General</c:formatCode>
                <c:ptCount val="4"/>
                <c:pt idx="0">
                  <c:v>3315.76</c:v>
                </c:pt>
                <c:pt idx="1">
                  <c:v>1309.67</c:v>
                </c:pt>
                <c:pt idx="2">
                  <c:v>1698.79</c:v>
                </c:pt>
                <c:pt idx="3">
                  <c:v>1721</c:v>
                </c:pt>
              </c:numCache>
            </c:numRef>
          </c:val>
          <c:extLst>
            <c:ext xmlns:c16="http://schemas.microsoft.com/office/drawing/2014/chart" uri="{C3380CC4-5D6E-409C-BE32-E72D297353CC}">
              <c16:uniqueId val="{00000000-0ACB-4B7E-93B7-D05D14D7B764}"/>
            </c:ext>
          </c:extLst>
        </c:ser>
        <c:dLbls>
          <c:dLblPos val="bestFit"/>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[Dashboard.xlsx]Top 5 Products!PivotTable2</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'Top 5 Products'!$B$3</c:f>
              <c:strCache>
                <c:ptCount val="1"/>
                <c:pt idx="0">
                  <c:v>Total</c:v>
                </c:pt>
              </c:strCache>
            </c:strRef>
          </c:tx>
          <c:spPr>
            <a:solidFill>
              <a:schemeClr val="accent1"/>
            </a:solidFill>
            <a:ln>
              <a:noFill/>
            </a:ln>
            <a:effectLst/>
          </c:spPr>
          <c:invertIfNegative val="0"/>
          <c:cat>
            <c:strRef>
              <c:f>'Top 5 Products'!$A$4:$A$10</c:f>
              <c:strCache>
                <c:ptCount val="6"/>
                <c:pt idx="0">
                  <c:v>Laptop</c:v>
                </c:pt>
                <c:pt idx="1">
                  <c:v>Microwave</c:v>
                </c:pt>
                <c:pt idx="2">
                  <c:v>Smartphone</c:v>
                </c:pt>
                <c:pt idx="3">
                  <c:v>Sneakers</c:v>
                </c:pt>
                <c:pt idx="4">
                  <c:v>Tennis Racket</c:v>
                </c:pt>
                <c:pt idx="5">
                  <c:v>Toaster</c:v>
                </c:pt>
              </c:strCache>
            </c:strRef>
          </c:cat>
          <c:val>
            <c:numRef>
              <c:f>'Top 5 Products'!$B$4:$B$10</c:f>
              <c:numCache>
                <c:formatCode>General</c:formatCode>
                <c:ptCount val="6"/>
                <c:pt idx="0">
                  <c:v>1291.76</c:v>
                </c:pt>
                <c:pt idx="1">
                  <c:v>450</c:v>
                </c:pt>
                <c:pt idx="2">
                  <c:v>1350</c:v>
                </c:pt>
                <c:pt idx="3">
                  <c:v>360</c:v>
                </c:pt>
                <c:pt idx="4">
                  <c:v>360</c:v>
                </c:pt>
                <c:pt idx="5">
                  <c:v>2053.67</c:v>
                </c:pt>
              </c:numCache>
            </c:numRef>
          </c:val>
          <c:extLst>
            <c:ext xmlns:c16="http://schemas.microsoft.com/office/drawing/2014/chart" uri="{C3380CC4-5D6E-409C-BE32-E72D297353CC}">
              <c16:uniqueId val="{00000000-A5C9-4685-8C26-D33C15B2198A}"/>
            </c:ext>
          </c:extLst>
        </c:ser>
        <c:dLbls>
          <c:showLegendKey val="0"/>
          <c:showVal val="0"/>
          <c:showCatName val="0"/>
          <c:showSerName val="0"/>
          <c:showPercent val="0"/>
          <c:showBubbleSize val="0"/>
        </c:dLbls>
        <c:gapWidth val="150"/>
        <c:overlap val="100"/>
        <c:axId val="1993156319"/>
        <c:axId val="1993162559"/>
      </c:barChart>
      <c:catAx>
        <c:axId val="199315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162559"/>
        <c:crosses val="autoZero"/>
        <c:auto val="1"/>
        <c:lblAlgn val="ctr"/>
        <c:lblOffset val="100"/>
        <c:noMultiLvlLbl val="0"/>
      </c:catAx>
      <c:valAx>
        <c:axId val="1993162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156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 Channel Split!PivotTable3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'Sales Channel Split'!$B$3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'Sales Channel Split'!$A$4:$A$6</c:f>
              <c:strCache>
                <c:ptCount val="2"/>
                <c:pt idx="0">
                  <c:v>Offline</c:v>
                </c:pt>
                <c:pt idx="1">
                  <c:v>Online</c:v>
                </c:pt>
              </c:strCache>
            </c:strRef>
          </c:cat>
          <c:val>
            <c:numRef>
              <c:f>'Sales Channel Split'!$B$4:$B$6</c:f>
              <c:numCache>
                <c:formatCode>General</c:formatCode>
                <c:ptCount val="2"/>
                <c:pt idx="0">
                  <c:v>3662.7</c:v>
                </c:pt>
                <c:pt idx="1">
                  <c:v>4382.5200000000004</c:v>
                </c:pt>
              </c:numCache>
            </c:numRef>
          </c:val>
          <c:extLst>
            <c:ext xmlns:c16="http://schemas.microsoft.com/office/drawing/2014/chart" uri="{C3380CC4-5D6E-409C-BE32-E72D297353CC}">
              <c16:uniqueId val="{00000000-DF6F-4D59-A295-25F08E17D9F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[Dashboard.xlsx]Monthly Sales Trend!PivotTable4</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 Sales Trend'!$B$3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 Trend'!$A$4:$A$7</c:f>
              <c:strCache>
                <c:ptCount val="3"/>
                <c:pt idx="0">
                  <c:v>Jan</c:v>
                </c:pt>
                <c:pt idx="1">
                  <c:v>Feb</c:v>
                </c:pt>
                <c:pt idx="2">
                  <c:v>Mar</c:v>
                </c:pt>
              </c:strCache>
            </c:strRef>
          </c:cat>
          <c:val>
            <c:numRef>
              <c:f>'Monthly Sales Trend'!$B$4:$B$7</c:f>
              <c:numCache>
                <c:formatCode>General</c:formatCode>
                <c:ptCount val="3"/>
                <c:pt idx="0">
                  <c:v>1791.0900000000001</c:v>
                </c:pt>
                <c:pt idx="1">
                  <c:v>2287.7600000000002</c:v>
                </c:pt>
                <c:pt idx="2">
                  <c:v>3966.37</c:v>
                </c:pt>
              </c:numCache>
            </c:numRef>
          </c:val>
          <c:smooth val="0"/>
          <c:extLst>
            <c:ext xmlns:c16="http://schemas.microsoft.com/office/drawing/2014/chart" uri="{C3380CC4-5D6E-409C-BE32-E72D297353CC}">
              <c16:uniqueId val="{00000000-D3DA-45E5-8442-EB0CB9715F57}"/>
            </c:ext>
          </c:extLst>
        </c:ser>
        <c:dLbls>
          <c:dLblPos val="t"/>
          <c:showLegendKey val="0"/>
          <c:showVal val="1"/>
          <c:showCatName val="0"/>
          <c:showSerName val="0"/>
          <c:showPercent val="0"/>
          <c:showBubbleSize val="0"/>
        </c:dLbls>
        <c:smooth val="0"/>
        <c:axId val="2100155519"/>
        <c:axId val="2100152159"/>
      </c:lineChart>
      <c:catAx>
        <c:axId val="210015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152159"/>
        <c:crosses val="autoZero"/>
        <c:auto val="1"/>
        <c:lblAlgn val="ctr"/>
        <c:lblOffset val="100"/>
        <c:noMultiLvlLbl val="0"/>
      </c:catAx>
      <c:valAx>
        <c:axId val="2100152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15551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[Dashboard.xlsx]Category Trend!PivotTable5</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'Category Trend'!$B$3</c:f>
              <c:strCache>
                <c:ptCount val="1"/>
                <c:pt idx="0">
                  <c:v>Total</c:v>
                </c:pt>
              </c:strCache>
            </c:strRef>
          </c:tx>
          <c:spPr>
            <a:solidFill>
              <a:schemeClr val="accent1"/>
            </a:solidFill>
            <a:ln>
              <a:noFill/>
            </a:ln>
            <a:effectLst/>
          </c:spPr>
          <c:invertIfNegative val="0"/>
          <c:cat>
            <c:strRef>
              <c:f>'Category Trend'!$A$4:$A$9</c:f>
              <c:strCache>
                <c:ptCount val="5"/>
                <c:pt idx="0">
                  <c:v>Beauty</c:v>
                </c:pt>
                <c:pt idx="1">
                  <c:v>Electronics</c:v>
                </c:pt>
                <c:pt idx="2">
                  <c:v>Fashion</c:v>
                </c:pt>
                <c:pt idx="3">
                  <c:v>Home Appliances</c:v>
                </c:pt>
                <c:pt idx="4">
                  <c:v>Sports</c:v>
                </c:pt>
              </c:strCache>
            </c:strRef>
          </c:cat>
          <c:val>
            <c:numRef>
              <c:f>'Category Trend'!$B$4:$B$9</c:f>
              <c:numCache>
                <c:formatCode>General</c:formatCode>
                <c:ptCount val="5"/>
                <c:pt idx="0">
                  <c:v>596</c:v>
                </c:pt>
                <c:pt idx="1">
                  <c:v>3085.55</c:v>
                </c:pt>
                <c:pt idx="2">
                  <c:v>790</c:v>
                </c:pt>
                <c:pt idx="3">
                  <c:v>2908.67</c:v>
                </c:pt>
                <c:pt idx="4">
                  <c:v>665</c:v>
                </c:pt>
              </c:numCache>
            </c:numRef>
          </c:val>
          <c:extLst>
            <c:ext xmlns:c16="http://schemas.microsoft.com/office/drawing/2014/chart" uri="{C3380CC4-5D6E-409C-BE32-E72D297353CC}">
              <c16:uniqueId val="{00000000-CBB6-49DA-8DFE-D7798ED7DE61}"/>
            </c:ext>
          </c:extLst>
        </c:ser>
        <c:dLbls>
          <c:showLegendKey val="0"/>
          <c:showVal val="0"/>
          <c:showCatName val="0"/>
          <c:showSerName val="0"/>
          <c:showPercent val="0"/>
          <c:showBubbleSize val="0"/>
        </c:dLbls>
        <c:gapWidth val="150"/>
        <c:overlap val="100"/>
        <c:axId val="2100169439"/>
        <c:axId val="2100169919"/>
      </c:barChart>
      <c:catAx>
        <c:axId val="2100169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169919"/>
        <c:crosses val="autoZero"/>
        <c:auto val="1"/>
        <c:lblAlgn val="ctr"/>
        <c:lblOffset val="100"/>
        <c:noMultiLvlLbl val="0"/>
      </c:catAx>
      <c:valAx>
        <c:axId val="21001699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169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 by Region!PivotTable1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pieChart>
        <c:varyColors val="1"/>
        <c:ser>
          <c:idx val="0"/>
          <c:order val="0"/>
          <c:tx>
            <c:strRef>
              <c:f>'Sales by Region'!$B$3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756B-4C07-A584-B6DE3264D855}"/>
              </c:ext>
            </c:extLst>
          </c:dPt>
          <c:dPt>
            <c:idx val="1"/>
            <c:bubble3D val="0"/>
            <c:spPr>
              <a:solidFill>
                <a:schemeClr val="accent2"/>
              </a:solidFill>
              <a:ln>
                <a:noFill/>
              </a:ln>
              <a:effectLst/>
            </c:spPr>
            <c:extLst>
              <c:ext xmlns:c16="http://schemas.microsoft.com/office/drawing/2014/chart" uri="{C3380CC4-5D6E-409C-BE32-E72D297353CC}">
                <c16:uniqueId val="{00000003-756B-4C07-A584-B6DE3264D855}"/>
              </c:ext>
            </c:extLst>
          </c:dPt>
          <c:dPt>
            <c:idx val="2"/>
            <c:bubble3D val="0"/>
            <c:spPr>
              <a:solidFill>
                <a:schemeClr val="accent3"/>
              </a:solidFill>
              <a:ln>
                <a:noFill/>
              </a:ln>
              <a:effectLst/>
            </c:spPr>
            <c:extLst>
              <c:ext xmlns:c16="http://schemas.microsoft.com/office/drawing/2014/chart" uri="{C3380CC4-5D6E-409C-BE32-E72D297353CC}">
                <c16:uniqueId val="{00000005-756B-4C07-A584-B6DE3264D855}"/>
              </c:ext>
            </c:extLst>
          </c:dPt>
          <c:dPt>
            <c:idx val="3"/>
            <c:bubble3D val="0"/>
            <c:spPr>
              <a:solidFill>
                <a:schemeClr val="accent4"/>
              </a:solidFill>
              <a:ln>
                <a:noFill/>
              </a:ln>
              <a:effectLst/>
            </c:spPr>
            <c:extLst>
              <c:ext xmlns:c16="http://schemas.microsoft.com/office/drawing/2014/chart" uri="{C3380CC4-5D6E-409C-BE32-E72D297353CC}">
                <c16:uniqueId val="{00000007-756B-4C07-A584-B6DE3264D855}"/>
              </c:ext>
            </c:extLst>
          </c:dPt>
          <c:cat>
            <c:strRef>
              <c:f>'Sales by Region'!$A$4:$A$8</c:f>
              <c:strCache>
                <c:ptCount val="4"/>
                <c:pt idx="0">
                  <c:v>East</c:v>
                </c:pt>
                <c:pt idx="1">
                  <c:v>North</c:v>
                </c:pt>
                <c:pt idx="2">
                  <c:v>South</c:v>
                </c:pt>
                <c:pt idx="3">
                  <c:v>West</c:v>
                </c:pt>
              </c:strCache>
            </c:strRef>
          </c:cat>
          <c:val>
            <c:numRef>
              <c:f>'Sales by Region'!$B$4:$B$8</c:f>
              <c:numCache>
                <c:formatCode>General</c:formatCode>
                <c:ptCount val="4"/>
                <c:pt idx="0">
                  <c:v>3315.76</c:v>
                </c:pt>
                <c:pt idx="1">
                  <c:v>1309.67</c:v>
                </c:pt>
                <c:pt idx="2">
                  <c:v>1698.79</c:v>
                </c:pt>
                <c:pt idx="3">
                  <c:v>1721</c:v>
                </c:pt>
              </c:numCache>
            </c:numRef>
          </c:val>
          <c:extLst>
            <c:ext xmlns:c16="http://schemas.microsoft.com/office/drawing/2014/chart" uri="{C3380CC4-5D6E-409C-BE32-E72D297353CC}">
              <c16:uniqueId val="{00000008-756B-4C07-A584-B6DE3264D85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[Dashboard.xlsx]Monthly Sales Trend!PivotTable4</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 Sales Trend'!$B$3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 Trend'!$A$4:$A$7</c:f>
              <c:strCache>
                <c:ptCount val="3"/>
                <c:pt idx="0">
                  <c:v>Jan</c:v>
                </c:pt>
                <c:pt idx="1">
                  <c:v>Feb</c:v>
                </c:pt>
                <c:pt idx="2">
                  <c:v>Mar</c:v>
                </c:pt>
              </c:strCache>
            </c:strRef>
          </c:cat>
          <c:val>
            <c:numRef>
              <c:f>'Monthly Sales Trend'!$B$4:$B$7</c:f>
              <c:numCache>
                <c:formatCode>General</c:formatCode>
                <c:ptCount val="3"/>
                <c:pt idx="0">
                  <c:v>1791.0900000000001</c:v>
                </c:pt>
                <c:pt idx="1">
                  <c:v>2287.7600000000002</c:v>
                </c:pt>
                <c:pt idx="2">
                  <c:v>3966.37</c:v>
                </c:pt>
              </c:numCache>
            </c:numRef>
          </c:val>
          <c:smooth val="0"/>
          <c:extLst>
            <c:ext xmlns:c16="http://schemas.microsoft.com/office/drawing/2014/chart" uri="{C3380CC4-5D6E-409C-BE32-E72D297353CC}">
              <c16:uniqueId val="{00000000-8C63-492E-BE9C-C494E8316C44}"/>
            </c:ext>
          </c:extLst>
        </c:ser>
        <c:dLbls>
          <c:dLblPos val="t"/>
          <c:showLegendKey val="0"/>
          <c:showVal val="1"/>
          <c:showCatName val="0"/>
          <c:showSerName val="0"/>
          <c:showPercent val="0"/>
          <c:showBubbleSize val="0"/>
        </c:dLbls>
        <c:smooth val="0"/>
        <c:axId val="2100155519"/>
        <c:axId val="2100152159"/>
      </c:lineChart>
      <c:catAx>
        <c:axId val="210015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152159"/>
        <c:crosses val="autoZero"/>
        <c:auto val="1"/>
        <c:lblAlgn val="ctr"/>
        <c:lblOffset val="100"/>
        <c:noMultiLvlLbl val="0"/>
      </c:catAx>
      <c:valAx>
        <c:axId val="2100152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15551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[Dashboard.xlsx]Top 5 Products!PivotTable2</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'Top 5 Products'!$B$3</c:f>
              <c:strCache>
                <c:ptCount val="1"/>
                <c:pt idx="0">
                  <c:v>Total</c:v>
                </c:pt>
              </c:strCache>
            </c:strRef>
          </c:tx>
          <c:spPr>
            <a:solidFill>
              <a:schemeClr val="accent1"/>
            </a:solidFill>
            <a:ln>
              <a:noFill/>
            </a:ln>
            <a:effectLst/>
          </c:spPr>
          <c:invertIfNegative val="0"/>
          <c:cat>
            <c:strRef>
              <c:f>'Top 5 Products'!$A$4:$A$10</c:f>
              <c:strCache>
                <c:ptCount val="6"/>
                <c:pt idx="0">
                  <c:v>Laptop</c:v>
                </c:pt>
                <c:pt idx="1">
                  <c:v>Microwave</c:v>
                </c:pt>
                <c:pt idx="2">
                  <c:v>Smartphone</c:v>
                </c:pt>
                <c:pt idx="3">
                  <c:v>Sneakers</c:v>
                </c:pt>
                <c:pt idx="4">
                  <c:v>Tennis Racket</c:v>
                </c:pt>
                <c:pt idx="5">
                  <c:v>Toaster</c:v>
                </c:pt>
              </c:strCache>
            </c:strRef>
          </c:cat>
          <c:val>
            <c:numRef>
              <c:f>'Top 5 Products'!$B$4:$B$10</c:f>
              <c:numCache>
                <c:formatCode>General</c:formatCode>
                <c:ptCount val="6"/>
                <c:pt idx="0">
                  <c:v>1291.76</c:v>
                </c:pt>
                <c:pt idx="1">
                  <c:v>450</c:v>
                </c:pt>
                <c:pt idx="2">
                  <c:v>1350</c:v>
                </c:pt>
                <c:pt idx="3">
                  <c:v>360</c:v>
                </c:pt>
                <c:pt idx="4">
                  <c:v>360</c:v>
                </c:pt>
                <c:pt idx="5">
                  <c:v>2053.67</c:v>
                </c:pt>
              </c:numCache>
            </c:numRef>
          </c:val>
          <c:extLst>
            <c:ext xmlns:c16="http://schemas.microsoft.com/office/drawing/2014/chart" uri="{C3380CC4-5D6E-409C-BE32-E72D297353CC}">
              <c16:uniqueId val="{00000000-6E96-490F-A0B0-C745FF672708}"/>
            </c:ext>
          </c:extLst>
        </c:ser>
        <c:dLbls>
          <c:showLegendKey val="0"/>
          <c:showVal val="0"/>
          <c:showCatName val="0"/>
          <c:showSerName val="0"/>
          <c:showPercent val="0"/>
          <c:showBubbleSize val="0"/>
        </c:dLbls>
        <c:gapWidth val="150"/>
        <c:overlap val="100"/>
        <c:axId val="1993156319"/>
        <c:axId val="1993162559"/>
      </c:barChart>
      <c:catAx>
        <c:axId val="199315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162559"/>
        <c:crosses val="autoZero"/>
        <c:auto val="1"/>
        <c:lblAlgn val="ctr"/>
        <c:lblOffset val="100"/>
        <c:noMultiLvlLbl val="0"/>
      </c:catAx>
      <c:valAx>
        <c:axId val="1993162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156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[Dashboard.xlsx]Category Trend!PivotTable5</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'Category Trend'!$B$3</c:f>
              <c:strCache>
                <c:ptCount val="1"/>
                <c:pt idx="0">
                  <c:v>Total</c:v>
                </c:pt>
              </c:strCache>
            </c:strRef>
          </c:tx>
          <c:spPr>
            <a:solidFill>
              <a:schemeClr val="accent1"/>
            </a:solidFill>
            <a:ln>
              <a:noFill/>
            </a:ln>
            <a:effectLst/>
          </c:spPr>
          <c:invertIfNegative val="0"/>
          <c:cat>
            <c:strRef>
              <c:f>'Category Trend'!$A$4:$A$9</c:f>
              <c:strCache>
                <c:ptCount val="5"/>
                <c:pt idx="0">
                  <c:v>Beauty</c:v>
                </c:pt>
                <c:pt idx="1">
                  <c:v>Electronics</c:v>
                </c:pt>
                <c:pt idx="2">
                  <c:v>Fashion</c:v>
                </c:pt>
                <c:pt idx="3">
                  <c:v>Home Appliances</c:v>
                </c:pt>
                <c:pt idx="4">
                  <c:v>Sports</c:v>
                </c:pt>
              </c:strCache>
            </c:strRef>
          </c:cat>
          <c:val>
            <c:numRef>
              <c:f>'Category Trend'!$B$4:$B$9</c:f>
              <c:numCache>
                <c:formatCode>General</c:formatCode>
                <c:ptCount val="5"/>
                <c:pt idx="0">
                  <c:v>596</c:v>
                </c:pt>
                <c:pt idx="1">
                  <c:v>3085.55</c:v>
                </c:pt>
                <c:pt idx="2">
                  <c:v>790</c:v>
                </c:pt>
                <c:pt idx="3">
                  <c:v>2908.67</c:v>
                </c:pt>
                <c:pt idx="4">
                  <c:v>665</c:v>
                </c:pt>
              </c:numCache>
            </c:numRef>
          </c:val>
          <c:extLst>
            <c:ext xmlns:c16="http://schemas.microsoft.com/office/drawing/2014/chart" uri="{C3380CC4-5D6E-409C-BE32-E72D297353CC}">
              <c16:uniqueId val="{00000000-83BE-4927-847D-6C84E1B50E59}"/>
            </c:ext>
          </c:extLst>
        </c:ser>
        <c:dLbls>
          <c:showLegendKey val="0"/>
          <c:showVal val="0"/>
          <c:showCatName val="0"/>
          <c:showSerName val="0"/>
          <c:showPercent val="0"/>
          <c:showBubbleSize val="0"/>
        </c:dLbls>
        <c:gapWidth val="150"/>
        <c:overlap val="100"/>
        <c:axId val="2100169439"/>
        <c:axId val="2100169919"/>
      </c:barChart>
      <c:catAx>
        <c:axId val="2100169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169919"/>
        <c:crosses val="autoZero"/>
        <c:auto val="1"/>
        <c:lblAlgn val="ctr"/>
        <c:lblOffset val="100"/>
        <c:noMultiLvlLbl val="0"/>
      </c:catAx>
      <c:valAx>
        <c:axId val="21001699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169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 Channel Split!PivotTable3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'Sales Channel Split'!$B$3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B20-407A-93B2-59CC3D27EC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B20-407A-93B2-59CC3D27EC7B}"/>
              </c:ext>
            </c:extLst>
          </c:dPt>
          <c:cat>
            <c:strRef>
              <c:f>'Sales Channel Split'!$A$4:$A$6</c:f>
              <c:strCache>
                <c:ptCount val="2"/>
                <c:pt idx="0">
                  <c:v>Offline</c:v>
                </c:pt>
                <c:pt idx="1">
                  <c:v>Online</c:v>
                </c:pt>
              </c:strCache>
            </c:strRef>
          </c:cat>
          <c:val>
            <c:numRef>
              <c:f>'Sales Channel Split'!$B$4:$B$6</c:f>
              <c:numCache>
                <c:formatCode>General</c:formatCode>
                <c:ptCount val="2"/>
                <c:pt idx="0">
                  <c:v>3662.7</c:v>
                </c:pt>
                <c:pt idx="1">
                  <c:v>4382.5200000000004</c:v>
                </c:pt>
              </c:numCache>
            </c:numRef>
          </c:val>
          <c:extLst>
            <c:ext xmlns:c16="http://schemas.microsoft.com/office/drawing/2014/chart" uri="{C3380CC4-5D6E-409C-BE32-E72D297353CC}">
              <c16:uniqueId val="{00000004-2B20-407A-93B2-59CC3D27EC7B}"/>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601980</xdr:colOff>
      <xdr:row>1</xdr:row>
      <xdr:rowOff>160020</xdr:rowOff>
    </xdr:from>
    <xdr:to>
      <xdr:col>10</xdr:col>
      <xdr:colOff>297180</xdr:colOff>
      <xdr:row>16</xdr:row>
      <xdr:rowOff>0</xdr:rowOff>
    </xdr:to>
    <xdr:graphicFrame macro="">
      <xdr:nvGraphicFramePr>
        <xdr:cNvPr id="2" name="Chart 1">
          <a:extLst>
            <a:ext uri="{FF2B5EF4-FFF2-40B4-BE49-F238E27FC236}">
              <a16:creationId xmlns:a16="http://schemas.microsoft.com/office/drawing/2014/main" id="{84115272-12AE-8515-ACAF-38B94C2A78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7620</xdr:colOff>
      <xdr:row>1</xdr:row>
      <xdr:rowOff>171450</xdr:rowOff>
    </xdr:from>
    <xdr:to>
      <xdr:col>10</xdr:col>
      <xdr:colOff>312420</xdr:colOff>
      <xdr:row>15</xdr:row>
      <xdr:rowOff>60960</xdr:rowOff>
    </xdr:to>
    <xdr:graphicFrame macro="">
      <xdr:nvGraphicFramePr>
        <xdr:cNvPr id="2" name="Chart 1">
          <a:extLst>
            <a:ext uri="{FF2B5EF4-FFF2-40B4-BE49-F238E27FC236}">
              <a16:creationId xmlns:a16="http://schemas.microsoft.com/office/drawing/2014/main" id="{0CD90777-4C60-0B56-507B-EAE9435774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2</xdr:row>
      <xdr:rowOff>11430</xdr:rowOff>
    </xdr:from>
    <xdr:to>
      <xdr:col>10</xdr:col>
      <xdr:colOff>304800</xdr:colOff>
      <xdr:row>15</xdr:row>
      <xdr:rowOff>144780</xdr:rowOff>
    </xdr:to>
    <xdr:graphicFrame macro="">
      <xdr:nvGraphicFramePr>
        <xdr:cNvPr id="2" name="Chart 1">
          <a:extLst>
            <a:ext uri="{FF2B5EF4-FFF2-40B4-BE49-F238E27FC236}">
              <a16:creationId xmlns:a16="http://schemas.microsoft.com/office/drawing/2014/main" id="{14A17C92-0FC4-E28D-5812-0F35F2CEEA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601980</xdr:colOff>
      <xdr:row>1</xdr:row>
      <xdr:rowOff>140970</xdr:rowOff>
    </xdr:from>
    <xdr:to>
      <xdr:col>10</xdr:col>
      <xdr:colOff>297180</xdr:colOff>
      <xdr:row>16</xdr:row>
      <xdr:rowOff>140970</xdr:rowOff>
    </xdr:to>
    <xdr:graphicFrame macro="">
      <xdr:nvGraphicFramePr>
        <xdr:cNvPr id="3" name="Chart 2">
          <a:extLst>
            <a:ext uri="{FF2B5EF4-FFF2-40B4-BE49-F238E27FC236}">
              <a16:creationId xmlns:a16="http://schemas.microsoft.com/office/drawing/2014/main" id="{BDCA3220-F78B-87C6-0738-59011E6D7A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22860</xdr:colOff>
      <xdr:row>2</xdr:row>
      <xdr:rowOff>34290</xdr:rowOff>
    </xdr:from>
    <xdr:to>
      <xdr:col>10</xdr:col>
      <xdr:colOff>327660</xdr:colOff>
      <xdr:row>17</xdr:row>
      <xdr:rowOff>34290</xdr:rowOff>
    </xdr:to>
    <xdr:graphicFrame macro="">
      <xdr:nvGraphicFramePr>
        <xdr:cNvPr id="2" name="Chart 1">
          <a:extLst>
            <a:ext uri="{FF2B5EF4-FFF2-40B4-BE49-F238E27FC236}">
              <a16:creationId xmlns:a16="http://schemas.microsoft.com/office/drawing/2014/main" id="{671191B7-EBEA-293D-4EFA-AE8D941F9F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586740</xdr:colOff>
      <xdr:row>7</xdr:row>
      <xdr:rowOff>175260</xdr:rowOff>
    </xdr:from>
    <xdr:to>
      <xdr:col>10</xdr:col>
      <xdr:colOff>7620</xdr:colOff>
      <xdr:row>21</xdr:row>
      <xdr:rowOff>99060</xdr:rowOff>
    </xdr:to>
    <xdr:graphicFrame macro="">
      <xdr:nvGraphicFramePr>
        <xdr:cNvPr id="2" name="Chart 1">
          <a:extLst>
            <a:ext uri="{FF2B5EF4-FFF2-40B4-BE49-F238E27FC236}">
              <a16:creationId xmlns:a16="http://schemas.microsoft.com/office/drawing/2014/main" id="{A9B74799-51B6-4DF0-B64E-E981490C1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15240</xdr:colOff>
      <xdr:row>8</xdr:row>
      <xdr:rowOff>7620</xdr:rowOff>
    </xdr:from>
    <xdr:to>
      <xdr:col>19</xdr:col>
      <xdr:colOff>579120</xdr:colOff>
      <xdr:row>21</xdr:row>
      <xdr:rowOff>137160</xdr:rowOff>
    </xdr:to>
    <xdr:graphicFrame macro="">
      <xdr:nvGraphicFramePr>
        <xdr:cNvPr id="3" name="Chart 2">
          <a:extLst>
            <a:ext uri="{FF2B5EF4-FFF2-40B4-BE49-F238E27FC236}">
              <a16:creationId xmlns:a16="http://schemas.microsoft.com/office/drawing/2014/main" id="{9B0E7056-482D-4C63-B61F-690A5FC5B3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15240</xdr:colOff>
      <xdr:row>23</xdr:row>
      <xdr:rowOff>175260</xdr:rowOff>
    </xdr:from>
    <xdr:to>
      <xdr:col>9</xdr:col>
      <xdr:colOff>586740</xdr:colOff>
      <xdr:row>37</xdr:row>
      <xdr:rowOff>106680</xdr:rowOff>
    </xdr:to>
    <xdr:graphicFrame macro="">
      <xdr:nvGraphicFramePr>
        <xdr:cNvPr id="4" name="Chart 3">
          <a:extLst>
            <a:ext uri="{FF2B5EF4-FFF2-40B4-BE49-F238E27FC236}">
              <a16:creationId xmlns:a16="http://schemas.microsoft.com/office/drawing/2014/main" id="{4EDE020E-4F4F-4E3A-94CA-913E289F99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38100</xdr:colOff>
      <xdr:row>24</xdr:row>
      <xdr:rowOff>22860</xdr:rowOff>
    </xdr:from>
    <xdr:to>
      <xdr:col>20</xdr:col>
      <xdr:colOff>22860</xdr:colOff>
      <xdr:row>37</xdr:row>
      <xdr:rowOff>99060</xdr:rowOff>
    </xdr:to>
    <xdr:graphicFrame macro="">
      <xdr:nvGraphicFramePr>
        <xdr:cNvPr id="5" name="Chart 4">
          <a:extLst>
            <a:ext uri="{FF2B5EF4-FFF2-40B4-BE49-F238E27FC236}">
              <a16:creationId xmlns:a16="http://schemas.microsoft.com/office/drawing/2014/main" id="{522F7486-5C87-4C5D-99FC-23E5C72F02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419100</xdr:colOff>
      <xdr:row>40</xdr:row>
      <xdr:rowOff>15240</xdr:rowOff>
    </xdr:from>
    <xdr:to>
      <xdr:col>14</xdr:col>
      <xdr:colOff>533400</xdr:colOff>
      <xdr:row>53</xdr:row>
      <xdr:rowOff>148590</xdr:rowOff>
    </xdr:to>
    <xdr:graphicFrame macro="">
      <xdr:nvGraphicFramePr>
        <xdr:cNvPr id="6" name="Chart 5">
          <a:extLst>
            <a:ext uri="{FF2B5EF4-FFF2-40B4-BE49-F238E27FC236}">
              <a16:creationId xmlns:a16="http://schemas.microsoft.com/office/drawing/2014/main" id="{98D4A2EF-F85F-417D-8BA5-D80DC7506E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106680</xdr:colOff>
      <xdr:row>54</xdr:row>
      <xdr:rowOff>114300</xdr:rowOff>
    </xdr:from>
    <xdr:to>
      <xdr:col>16</xdr:col>
      <xdr:colOff>335280</xdr:colOff>
      <xdr:row>68</xdr:row>
      <xdr:rowOff>20955</xdr:rowOff>
    </xdr:to>
    <mc:AlternateContent xmlns:mc="http://schemas.openxmlformats.org/markup-compatibility/2006">
      <mc:Choice xmlns:a14="http://schemas.microsoft.com/office/drawing/2010/main" Requires="a14">
        <xdr:graphicFrame macro="">
          <xdr:nvGraphicFramePr>
            <xdr:cNvPr id="7" name="Date">
              <a:extLst>
                <a:ext uri="{FF2B5EF4-FFF2-40B4-BE49-F238E27FC236}">
                  <a16:creationId xmlns:a16="http://schemas.microsoft.com/office/drawing/2014/main" id="{8F76C3D4-C499-DEF8-CEBA-8D1D60FDF903}"/>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8641080" y="10134600"/>
              <a:ext cx="1447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396240</xdr:colOff>
      <xdr:row>54</xdr:row>
      <xdr:rowOff>152400</xdr:rowOff>
    </xdr:from>
    <xdr:to>
      <xdr:col>11</xdr:col>
      <xdr:colOff>548640</xdr:colOff>
      <xdr:row>68</xdr:row>
      <xdr:rowOff>59055</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188E2B2E-5FEC-F4D9-0205-A0833DF5B16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882640" y="10172700"/>
              <a:ext cx="13716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99060</xdr:colOff>
      <xdr:row>54</xdr:row>
      <xdr:rowOff>152400</xdr:rowOff>
    </xdr:from>
    <xdr:to>
      <xdr:col>7</xdr:col>
      <xdr:colOff>228600</xdr:colOff>
      <xdr:row>68</xdr:row>
      <xdr:rowOff>38100</xdr:rowOff>
    </xdr:to>
    <mc:AlternateContent xmlns:mc="http://schemas.openxmlformats.org/markup-compatibility/2006">
      <mc:Choice xmlns:a14="http://schemas.microsoft.com/office/drawing/2010/main" Requires="a14">
        <xdr:graphicFrame macro="">
          <xdr:nvGraphicFramePr>
            <xdr:cNvPr id="9" name="SalesChannel">
              <a:extLst>
                <a:ext uri="{FF2B5EF4-FFF2-40B4-BE49-F238E27FC236}">
                  <a16:creationId xmlns:a16="http://schemas.microsoft.com/office/drawing/2014/main" id="{3A2B100C-FBF9-D31C-E35F-4BD063A99800}"/>
                </a:ext>
              </a:extLst>
            </xdr:cNvPr>
            <xdr:cNvGraphicFramePr/>
          </xdr:nvGraphicFramePr>
          <xdr:xfrm>
            <a:off x="0" y="0"/>
            <a:ext cx="0" cy="0"/>
          </xdr:xfrm>
          <a:graphic>
            <a:graphicData uri="http://schemas.microsoft.com/office/drawing/2010/slicer">
              <sle:slicer xmlns:sle="http://schemas.microsoft.com/office/drawing/2010/slicer" name="SalesChannel"/>
            </a:graphicData>
          </a:graphic>
        </xdr:graphicFrame>
      </mc:Choice>
      <mc:Fallback>
        <xdr:sp macro="" textlink="">
          <xdr:nvSpPr>
            <xdr:cNvPr id="0" name=""/>
            <xdr:cNvSpPr>
              <a:spLocks noTextEdit="1"/>
            </xdr:cNvSpPr>
          </xdr:nvSpPr>
          <xdr:spPr>
            <a:xfrm>
              <a:off x="3147060" y="10172700"/>
              <a:ext cx="1348740" cy="2446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anshi Kanthariya" refreshedDate="46181.026078587965" createdVersion="8" refreshedVersion="8" minRefreshableVersion="3" recordCount="50" xr:uid="{7F026F16-5C39-4098-AEA3-C9EBBD39E92A}">
  <cacheSource type="worksheet">
    <worksheetSource ref="A1:K51" sheet="DataSet"/>
  </cacheSource>
  <cacheFields count="13">
    <cacheField name="TransactionID" numFmtId="0">
      <sharedItems/>
    </cacheField>
    <cacheField name="Date" numFmtId="14">
      <sharedItems containsSemiMixedTypes="0" containsNonDate="0" containsDate="1" containsString="0" minDate="2026-01-05T00:00:00" maxDate="2026-03-29T00:00:00" count="38">
        <d v="2026-01-11T00:00:00"/>
        <d v="2026-01-07T00:00:00"/>
        <d v="2026-03-28T00:00:00"/>
        <d v="2026-03-10T00:00:00"/>
        <d v="2026-02-22T00:00:00"/>
        <d v="2026-02-15T00:00:00"/>
        <d v="2026-01-20T00:00:00"/>
        <d v="2026-03-05T00:00:00"/>
        <d v="2026-02-10T00:00:00"/>
        <d v="2026-03-20T00:00:00"/>
        <d v="2026-01-15T00:00:00"/>
        <d v="2026-02-05T00:00:00"/>
        <d v="2026-03-12T00:00:00"/>
        <d v="2026-01-25T00:00:00"/>
        <d v="2026-02-28T00:00:00"/>
        <d v="2026-03-02T00:00:00"/>
        <d v="2026-01-12T00:00:00"/>
        <d v="2026-02-18T00:00:00"/>
        <d v="2026-03-25T00:00:00"/>
        <d v="2026-01-30T00:00:00"/>
        <d v="2026-02-14T00:00:00"/>
        <d v="2026-03-15T00:00:00"/>
        <d v="2026-01-18T00:00:00"/>
        <d v="2026-03-08T00:00:00"/>
        <d v="2026-01-10T00:00:00"/>
        <d v="2026-02-25T00:00:00"/>
        <d v="2026-01-28T00:00:00"/>
        <d v="2026-02-02T00:00:00"/>
        <d v="2026-03-18T00:00:00"/>
        <d v="2026-01-05T00:00:00"/>
        <d v="2026-02-12T00:00:00"/>
        <d v="2026-03-01T00:00:00"/>
        <d v="2026-01-22T00:00:00"/>
        <d v="2026-01-08T00:00:00"/>
        <d v="2026-01-14T00:00:00"/>
        <d v="2026-02-20T00:00:00"/>
        <d v="2026-01-26T00:00:00"/>
        <d v="2026-03-22T00:00:00"/>
      </sharedItems>
      <fieldGroup par="12"/>
    </cacheField>
    <cacheField name="ProductName" numFmtId="0">
      <sharedItems count="20">
        <s v="Toaster"/>
        <s v="Tablet"/>
        <s v="Laptop"/>
        <s v="Lipstick"/>
        <s v="Tennis Racket"/>
        <s v="Headphones"/>
        <s v="Jeans"/>
        <s v="Blender"/>
        <s v="Yoga Mat"/>
        <s v="Smartphone"/>
        <s v="T-Shirt"/>
        <s v="Foundation"/>
        <s v="Microwave"/>
        <s v="Jacket"/>
        <s v="Dumbbells"/>
        <s v="Perfume"/>
        <s v="Sneakers"/>
        <s v="Coffee Maker"/>
        <s v="Moisturizer"/>
        <s v="Football"/>
      </sharedItems>
    </cacheField>
    <cacheField name="Category" numFmtId="0">
      <sharedItems count="5">
        <s v="Home Appliances"/>
        <s v="Electronics"/>
        <s v="Beauty"/>
        <s v="Sports"/>
        <s v="Fashion"/>
      </sharedItems>
    </cacheField>
    <cacheField name="Region" numFmtId="0">
      <sharedItems count="4">
        <s v="East"/>
        <s v="South"/>
        <s v="North"/>
        <s v="West"/>
      </sharedItems>
    </cacheField>
    <cacheField name="SalesChannel" numFmtId="0">
      <sharedItems count="2">
        <s v="Online"/>
        <s v="Offline"/>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5" maxValue="450"/>
    </cacheField>
    <cacheField name="TotalAmount" numFmtId="0">
      <sharedItems containsSemiMixedTypes="0" containsString="0" containsNumber="1" minValue="17.3" maxValue="1731.7"/>
    </cacheField>
    <cacheField name="PaymentMode" numFmtId="0">
      <sharedItems/>
    </cacheField>
    <cacheField name="CustomerID" numFmtId="0">
      <sharedItems/>
    </cacheField>
    <cacheField name="Days (Date)" numFmtId="0" databaseField="0">
      <fieldGroup base="1">
        <rangePr groupBy="days" startDate="2026-01-05T00:00:00" endDate="2026-03-29T00:00:00"/>
        <groupItems count="368">
          <s v="&lt;05-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03-2026"/>
        </groupItems>
      </fieldGroup>
    </cacheField>
    <cacheField name="Months (Date)" numFmtId="0" databaseField="0">
      <fieldGroup base="1">
        <rangePr groupBy="months" startDate="2026-01-05T00:00:00" endDate="2026-03-29T00:00:00"/>
        <groupItems count="14">
          <s v="&lt;05-01-2026"/>
          <s v="Jan"/>
          <s v="Feb"/>
          <s v="Mar"/>
          <s v="Apr"/>
          <s v="May"/>
          <s v="Jun"/>
          <s v="Jul"/>
          <s v="Aug"/>
          <s v="Sep"/>
          <s v="Oct"/>
          <s v="Nov"/>
          <s v="Dec"/>
          <s v="&gt;29-03-2026"/>
        </groupItems>
      </fieldGroup>
    </cacheField>
  </cacheFields>
  <extLst>
    <ext xmlns:x14="http://schemas.microsoft.com/office/spreadsheetml/2009/9/main" uri="{725AE2AE-9491-48be-B2B4-4EB974FC3084}">
      <x14:pivotCacheDefinition pivotCacheId="3807538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T1001"/>
    <x v="0"/>
    <x v="0"/>
    <x v="0"/>
    <x v="0"/>
    <x v="0"/>
    <n v="1"/>
    <n v="17.3"/>
    <n v="17.3"/>
    <s v="Cash"/>
    <s v="C157"/>
  </r>
  <r>
    <s v="T1002"/>
    <x v="1"/>
    <x v="1"/>
    <x v="1"/>
    <x v="1"/>
    <x v="0"/>
    <n v="1"/>
    <n v="43.79"/>
    <n v="43.79"/>
    <s v="Net Banking"/>
    <s v="C128"/>
  </r>
  <r>
    <s v="T1003"/>
    <x v="2"/>
    <x v="0"/>
    <x v="0"/>
    <x v="2"/>
    <x v="0"/>
    <n v="1"/>
    <n v="279.67"/>
    <n v="279.67"/>
    <s v="Cash"/>
    <s v="C139"/>
  </r>
  <r>
    <s v="T1004"/>
    <x v="3"/>
    <x v="0"/>
    <x v="0"/>
    <x v="0"/>
    <x v="1"/>
    <n v="5"/>
    <n v="346.34"/>
    <n v="1731.7"/>
    <s v="UPI"/>
    <s v="C133"/>
  </r>
  <r>
    <s v="T1005"/>
    <x v="4"/>
    <x v="2"/>
    <x v="1"/>
    <x v="0"/>
    <x v="0"/>
    <n v="3"/>
    <n v="163.92"/>
    <n v="491.76"/>
    <s v="Net Banking"/>
    <s v="C110"/>
  </r>
  <r>
    <s v="T1006"/>
    <x v="5"/>
    <x v="3"/>
    <x v="2"/>
    <x v="3"/>
    <x v="1"/>
    <n v="2"/>
    <n v="85.5"/>
    <n v="171"/>
    <s v="UPI"/>
    <s v="C145"/>
  </r>
  <r>
    <s v="T1007"/>
    <x v="6"/>
    <x v="4"/>
    <x v="3"/>
    <x v="1"/>
    <x v="0"/>
    <n v="1"/>
    <n v="120"/>
    <n v="120"/>
    <s v="Credit Card"/>
    <s v="C112"/>
  </r>
  <r>
    <s v="T1008"/>
    <x v="7"/>
    <x v="5"/>
    <x v="1"/>
    <x v="2"/>
    <x v="0"/>
    <n v="2"/>
    <n v="50"/>
    <n v="100"/>
    <s v="Cash"/>
    <s v="C189"/>
  </r>
  <r>
    <s v="T1009"/>
    <x v="8"/>
    <x v="6"/>
    <x v="4"/>
    <x v="0"/>
    <x v="1"/>
    <n v="1"/>
    <n v="45"/>
    <n v="45"/>
    <s v="Net Banking"/>
    <s v="C150"/>
  </r>
  <r>
    <s v="T1010"/>
    <x v="9"/>
    <x v="7"/>
    <x v="0"/>
    <x v="3"/>
    <x v="0"/>
    <n v="1"/>
    <n v="60"/>
    <n v="60"/>
    <s v="UPI"/>
    <s v="C167"/>
  </r>
  <r>
    <s v="T1011"/>
    <x v="10"/>
    <x v="8"/>
    <x v="3"/>
    <x v="2"/>
    <x v="1"/>
    <n v="2"/>
    <n v="25"/>
    <n v="50"/>
    <s v="Cash"/>
    <s v="C130"/>
  </r>
  <r>
    <s v="T1012"/>
    <x v="11"/>
    <x v="9"/>
    <x v="1"/>
    <x v="1"/>
    <x v="0"/>
    <n v="1"/>
    <n v="450"/>
    <n v="450"/>
    <s v="Credit Card"/>
    <s v="C122"/>
  </r>
  <r>
    <s v="T1013"/>
    <x v="12"/>
    <x v="10"/>
    <x v="4"/>
    <x v="0"/>
    <x v="0"/>
    <n v="3"/>
    <n v="15"/>
    <n v="45"/>
    <s v="Net Banking"/>
    <s v="C140"/>
  </r>
  <r>
    <s v="T1014"/>
    <x v="13"/>
    <x v="11"/>
    <x v="2"/>
    <x v="3"/>
    <x v="1"/>
    <n v="1"/>
    <n v="30"/>
    <n v="30"/>
    <s v="UPI"/>
    <s v="C155"/>
  </r>
  <r>
    <s v="T1015"/>
    <x v="14"/>
    <x v="12"/>
    <x v="0"/>
    <x v="2"/>
    <x v="0"/>
    <n v="1"/>
    <n v="150"/>
    <n v="150"/>
    <s v="Cash"/>
    <s v="C177"/>
  </r>
  <r>
    <s v="T1016"/>
    <x v="15"/>
    <x v="13"/>
    <x v="4"/>
    <x v="1"/>
    <x v="1"/>
    <n v="1"/>
    <n v="80"/>
    <n v="80"/>
    <s v="Credit Card"/>
    <s v="C118"/>
  </r>
  <r>
    <s v="T1017"/>
    <x v="16"/>
    <x v="14"/>
    <x v="3"/>
    <x v="0"/>
    <x v="0"/>
    <n v="2"/>
    <n v="40"/>
    <n v="80"/>
    <s v="Net Banking"/>
    <s v="C161"/>
  </r>
  <r>
    <s v="T1018"/>
    <x v="17"/>
    <x v="15"/>
    <x v="2"/>
    <x v="3"/>
    <x v="0"/>
    <n v="1"/>
    <n v="55"/>
    <n v="55"/>
    <s v="UPI"/>
    <s v="C192"/>
  </r>
  <r>
    <s v="T1019"/>
    <x v="18"/>
    <x v="16"/>
    <x v="4"/>
    <x v="2"/>
    <x v="1"/>
    <n v="1"/>
    <n v="90"/>
    <n v="90"/>
    <s v="Cash"/>
    <s v="C144"/>
  </r>
  <r>
    <s v="T1020"/>
    <x v="19"/>
    <x v="17"/>
    <x v="0"/>
    <x v="1"/>
    <x v="0"/>
    <n v="1"/>
    <n v="75"/>
    <n v="75"/>
    <s v="Credit Card"/>
    <s v="C105"/>
  </r>
  <r>
    <s v="T1021"/>
    <x v="20"/>
    <x v="5"/>
    <x v="1"/>
    <x v="0"/>
    <x v="1"/>
    <n v="2"/>
    <n v="50"/>
    <n v="100"/>
    <s v="UPI"/>
    <s v="C133"/>
  </r>
  <r>
    <s v="T1022"/>
    <x v="21"/>
    <x v="3"/>
    <x v="2"/>
    <x v="2"/>
    <x v="0"/>
    <n v="3"/>
    <n v="20"/>
    <n v="60"/>
    <s v="Net Banking"/>
    <s v="C180"/>
  </r>
  <r>
    <s v="T1023"/>
    <x v="22"/>
    <x v="9"/>
    <x v="1"/>
    <x v="3"/>
    <x v="0"/>
    <n v="1"/>
    <n v="450"/>
    <n v="450"/>
    <s v="Cash"/>
    <s v="C160"/>
  </r>
  <r>
    <s v="T1024"/>
    <x v="4"/>
    <x v="8"/>
    <x v="3"/>
    <x v="1"/>
    <x v="1"/>
    <n v="1"/>
    <n v="25"/>
    <n v="25"/>
    <s v="Credit Card"/>
    <s v="C115"/>
  </r>
  <r>
    <s v="T1025"/>
    <x v="23"/>
    <x v="10"/>
    <x v="4"/>
    <x v="0"/>
    <x v="0"/>
    <n v="2"/>
    <n v="15"/>
    <n v="30"/>
    <s v="UPI"/>
    <s v="C142"/>
  </r>
  <r>
    <s v="T1026"/>
    <x v="24"/>
    <x v="12"/>
    <x v="0"/>
    <x v="3"/>
    <x v="0"/>
    <n v="1"/>
    <n v="150"/>
    <n v="150"/>
    <s v="Net Banking"/>
    <s v="C199"/>
  </r>
  <r>
    <s v="T1027"/>
    <x v="25"/>
    <x v="4"/>
    <x v="3"/>
    <x v="2"/>
    <x v="1"/>
    <n v="1"/>
    <n v="120"/>
    <n v="120"/>
    <s v="Cash"/>
    <s v="C125"/>
  </r>
  <r>
    <s v="T1028"/>
    <x v="9"/>
    <x v="11"/>
    <x v="2"/>
    <x v="1"/>
    <x v="0"/>
    <n v="2"/>
    <n v="30"/>
    <n v="60"/>
    <s v="Credit Card"/>
    <s v="C111"/>
  </r>
  <r>
    <s v="T1029"/>
    <x v="26"/>
    <x v="2"/>
    <x v="1"/>
    <x v="0"/>
    <x v="1"/>
    <n v="1"/>
    <n v="400"/>
    <n v="400"/>
    <s v="UPI"/>
    <s v="C151"/>
  </r>
  <r>
    <s v="T1030"/>
    <x v="27"/>
    <x v="13"/>
    <x v="4"/>
    <x v="3"/>
    <x v="0"/>
    <n v="1"/>
    <n v="80"/>
    <n v="80"/>
    <s v="Net Banking"/>
    <s v="C168"/>
  </r>
  <r>
    <s v="T1031"/>
    <x v="28"/>
    <x v="7"/>
    <x v="0"/>
    <x v="2"/>
    <x v="1"/>
    <n v="2"/>
    <n v="60"/>
    <n v="120"/>
    <s v="Cash"/>
    <s v="C175"/>
  </r>
  <r>
    <s v="T1032"/>
    <x v="29"/>
    <x v="15"/>
    <x v="2"/>
    <x v="1"/>
    <x v="0"/>
    <n v="1"/>
    <n v="55"/>
    <n v="55"/>
    <s v="Credit Card"/>
    <s v="C102"/>
  </r>
  <r>
    <s v="T1033"/>
    <x v="30"/>
    <x v="14"/>
    <x v="3"/>
    <x v="0"/>
    <x v="0"/>
    <n v="1"/>
    <n v="40"/>
    <n v="40"/>
    <s v="UPI"/>
    <s v="C148"/>
  </r>
  <r>
    <s v="T1034"/>
    <x v="31"/>
    <x v="16"/>
    <x v="4"/>
    <x v="3"/>
    <x v="1"/>
    <n v="2"/>
    <n v="90"/>
    <n v="180"/>
    <s v="Net Banking"/>
    <s v="C195"/>
  </r>
  <r>
    <s v="T1035"/>
    <x v="32"/>
    <x v="17"/>
    <x v="0"/>
    <x v="2"/>
    <x v="0"/>
    <n v="1"/>
    <n v="75"/>
    <n v="75"/>
    <s v="Cash"/>
    <s v="C188"/>
  </r>
  <r>
    <s v="T1036"/>
    <x v="5"/>
    <x v="1"/>
    <x v="1"/>
    <x v="1"/>
    <x v="1"/>
    <n v="1"/>
    <n v="200"/>
    <n v="200"/>
    <s v="Credit Card"/>
    <s v="C110"/>
  </r>
  <r>
    <s v="T1037"/>
    <x v="18"/>
    <x v="18"/>
    <x v="2"/>
    <x v="0"/>
    <x v="0"/>
    <n v="2"/>
    <n v="35"/>
    <n v="70"/>
    <s v="UPI"/>
    <s v="C156"/>
  </r>
  <r>
    <s v="T1038"/>
    <x v="33"/>
    <x v="19"/>
    <x v="3"/>
    <x v="3"/>
    <x v="0"/>
    <n v="1"/>
    <n v="30"/>
    <n v="30"/>
    <s v="Net Banking"/>
    <s v="C169"/>
  </r>
  <r>
    <s v="T1039"/>
    <x v="14"/>
    <x v="6"/>
    <x v="4"/>
    <x v="2"/>
    <x v="1"/>
    <n v="2"/>
    <n v="45"/>
    <n v="90"/>
    <s v="Cash"/>
    <s v="C172"/>
  </r>
  <r>
    <s v="T1040"/>
    <x v="3"/>
    <x v="9"/>
    <x v="1"/>
    <x v="1"/>
    <x v="0"/>
    <n v="1"/>
    <n v="450"/>
    <n v="450"/>
    <s v="Credit Card"/>
    <s v="C120"/>
  </r>
  <r>
    <s v="T1041"/>
    <x v="34"/>
    <x v="0"/>
    <x v="0"/>
    <x v="0"/>
    <x v="1"/>
    <n v="1"/>
    <n v="25"/>
    <n v="25"/>
    <s v="UPI"/>
    <s v="C149"/>
  </r>
  <r>
    <s v="T1042"/>
    <x v="35"/>
    <x v="3"/>
    <x v="2"/>
    <x v="3"/>
    <x v="0"/>
    <n v="2"/>
    <n v="20"/>
    <n v="40"/>
    <s v="Net Banking"/>
    <s v="C190"/>
  </r>
  <r>
    <s v="T1043"/>
    <x v="7"/>
    <x v="4"/>
    <x v="3"/>
    <x v="2"/>
    <x v="0"/>
    <n v="1"/>
    <n v="120"/>
    <n v="120"/>
    <s v="Cash"/>
    <s v="C174"/>
  </r>
  <r>
    <s v="T1044"/>
    <x v="36"/>
    <x v="10"/>
    <x v="4"/>
    <x v="1"/>
    <x v="1"/>
    <n v="4"/>
    <n v="15"/>
    <n v="60"/>
    <s v="Credit Card"/>
    <s v="C109"/>
  </r>
  <r>
    <s v="T1045"/>
    <x v="8"/>
    <x v="12"/>
    <x v="0"/>
    <x v="0"/>
    <x v="0"/>
    <n v="1"/>
    <n v="150"/>
    <n v="150"/>
    <s v="UPI"/>
    <s v="C153"/>
  </r>
  <r>
    <s v="T1046"/>
    <x v="21"/>
    <x v="2"/>
    <x v="1"/>
    <x v="3"/>
    <x v="0"/>
    <n v="1"/>
    <n v="400"/>
    <n v="400"/>
    <s v="Net Banking"/>
    <s v="C185"/>
  </r>
  <r>
    <s v="T1047"/>
    <x v="19"/>
    <x v="15"/>
    <x v="2"/>
    <x v="2"/>
    <x v="1"/>
    <n v="1"/>
    <n v="55"/>
    <n v="55"/>
    <s v="Cash"/>
    <s v="C171"/>
  </r>
  <r>
    <s v="T1048"/>
    <x v="11"/>
    <x v="14"/>
    <x v="3"/>
    <x v="1"/>
    <x v="0"/>
    <n v="2"/>
    <n v="40"/>
    <n v="80"/>
    <s v="Credit Card"/>
    <s v="C116"/>
  </r>
  <r>
    <s v="T1049"/>
    <x v="37"/>
    <x v="16"/>
    <x v="4"/>
    <x v="0"/>
    <x v="1"/>
    <n v="1"/>
    <n v="90"/>
    <n v="90"/>
    <s v="UPI"/>
    <s v="C146"/>
  </r>
  <r>
    <s v="T1050"/>
    <x v="16"/>
    <x v="17"/>
    <x v="0"/>
    <x v="3"/>
    <x v="0"/>
    <n v="1"/>
    <n v="75"/>
    <n v="75"/>
    <s v="Net Banking"/>
    <s v="C1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EF282D-60CD-4AEB-B442-6416B899BEA6}"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13">
    <pivotField showAll="0"/>
    <pivotField numFmtId="14" showAll="0">
      <items count="39">
        <item x="29"/>
        <item x="1"/>
        <item x="33"/>
        <item x="24"/>
        <item x="0"/>
        <item x="16"/>
        <item x="34"/>
        <item x="10"/>
        <item x="22"/>
        <item x="6"/>
        <item x="32"/>
        <item x="13"/>
        <item x="36"/>
        <item x="26"/>
        <item x="19"/>
        <item x="27"/>
        <item x="11"/>
        <item x="8"/>
        <item x="30"/>
        <item x="20"/>
        <item x="5"/>
        <item x="17"/>
        <item x="35"/>
        <item x="4"/>
        <item x="25"/>
        <item x="14"/>
        <item x="31"/>
        <item x="15"/>
        <item x="7"/>
        <item x="23"/>
        <item x="3"/>
        <item x="12"/>
        <item x="21"/>
        <item x="28"/>
        <item x="9"/>
        <item x="37"/>
        <item x="18"/>
        <item x="2"/>
        <item t="default"/>
      </items>
    </pivotField>
    <pivotField showAll="0"/>
    <pivotField showAll="0"/>
    <pivotField axis="axisRow" showAll="0">
      <items count="5">
        <item x="0"/>
        <item x="2"/>
        <item x="1"/>
        <item x="3"/>
        <item t="default"/>
      </items>
    </pivotField>
    <pivotField showAll="0">
      <items count="3">
        <item x="1"/>
        <item x="0"/>
        <item t="default"/>
      </items>
    </pivotField>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TotalAmount" fld="8" baseField="0" baseItem="0"/>
  </dataFields>
  <chartFormats count="6">
    <chartFormat chart="3"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4" count="1" selected="0">
            <x v="0"/>
          </reference>
        </references>
      </pivotArea>
    </chartFormat>
    <chartFormat chart="7" format="8">
      <pivotArea type="data" outline="0" fieldPosition="0">
        <references count="2">
          <reference field="4294967294" count="1" selected="0">
            <x v="0"/>
          </reference>
          <reference field="4" count="1" selected="0">
            <x v="1"/>
          </reference>
        </references>
      </pivotArea>
    </chartFormat>
    <chartFormat chart="7" format="9">
      <pivotArea type="data" outline="0" fieldPosition="0">
        <references count="2">
          <reference field="4294967294" count="1" selected="0">
            <x v="0"/>
          </reference>
          <reference field="4" count="1" selected="0">
            <x v="2"/>
          </reference>
        </references>
      </pivotArea>
    </chartFormat>
    <chartFormat chart="7"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07BB98-075C-4036-A3C5-ED7AF3732FB2}"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10" firstHeaderRow="1" firstDataRow="1" firstDataCol="1"/>
  <pivotFields count="13">
    <pivotField showAll="0"/>
    <pivotField numFmtId="14" showAll="0">
      <items count="39">
        <item x="29"/>
        <item x="1"/>
        <item x="33"/>
        <item x="24"/>
        <item x="0"/>
        <item x="16"/>
        <item x="34"/>
        <item x="10"/>
        <item x="22"/>
        <item x="6"/>
        <item x="32"/>
        <item x="13"/>
        <item x="36"/>
        <item x="26"/>
        <item x="19"/>
        <item x="27"/>
        <item x="11"/>
        <item x="8"/>
        <item x="30"/>
        <item x="20"/>
        <item x="5"/>
        <item x="17"/>
        <item x="35"/>
        <item x="4"/>
        <item x="25"/>
        <item x="14"/>
        <item x="31"/>
        <item x="15"/>
        <item x="7"/>
        <item x="23"/>
        <item x="3"/>
        <item x="12"/>
        <item x="21"/>
        <item x="28"/>
        <item x="9"/>
        <item x="37"/>
        <item x="18"/>
        <item x="2"/>
        <item t="default"/>
      </items>
    </pivotField>
    <pivotField axis="axisRow" showAll="0" measureFilter="1">
      <items count="21">
        <item x="7"/>
        <item x="17"/>
        <item x="14"/>
        <item x="19"/>
        <item x="11"/>
        <item x="5"/>
        <item x="13"/>
        <item x="6"/>
        <item x="2"/>
        <item x="3"/>
        <item x="12"/>
        <item x="18"/>
        <item x="15"/>
        <item x="9"/>
        <item x="16"/>
        <item x="1"/>
        <item x="4"/>
        <item x="0"/>
        <item x="10"/>
        <item x="8"/>
        <item t="default"/>
      </items>
    </pivotField>
    <pivotField showAll="0"/>
    <pivotField showAll="0"/>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7">
    <i>
      <x v="8"/>
    </i>
    <i>
      <x v="10"/>
    </i>
    <i>
      <x v="13"/>
    </i>
    <i>
      <x v="14"/>
    </i>
    <i>
      <x v="16"/>
    </i>
    <i>
      <x v="17"/>
    </i>
    <i t="grand">
      <x/>
    </i>
  </rowItems>
  <colItems count="1">
    <i/>
  </colItems>
  <dataFields count="1">
    <dataField name="Sum of TotalAmount" fld="8" baseField="0" baseItem="0"/>
  </dataFields>
  <chartFormats count="2">
    <chartFormat chart="18"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AB91E1-B4CE-44EA-941E-0DECB915C647}"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3">
    <pivotField showAll="0"/>
    <pivotField numFmtId="14" showAll="0">
      <items count="39">
        <item x="29"/>
        <item x="1"/>
        <item x="33"/>
        <item x="24"/>
        <item x="0"/>
        <item x="16"/>
        <item x="34"/>
        <item x="10"/>
        <item x="22"/>
        <item x="6"/>
        <item x="32"/>
        <item x="13"/>
        <item x="36"/>
        <item x="26"/>
        <item x="19"/>
        <item x="27"/>
        <item x="11"/>
        <item x="8"/>
        <item x="30"/>
        <item x="20"/>
        <item x="5"/>
        <item x="17"/>
        <item x="35"/>
        <item x="4"/>
        <item x="25"/>
        <item x="14"/>
        <item x="31"/>
        <item x="15"/>
        <item x="7"/>
        <item x="23"/>
        <item x="3"/>
        <item x="12"/>
        <item x="21"/>
        <item x="28"/>
        <item x="9"/>
        <item x="37"/>
        <item x="18"/>
        <item x="2"/>
        <item t="default"/>
      </items>
    </pivotField>
    <pivotField showAll="0"/>
    <pivotField showAll="0"/>
    <pivotField showAll="0"/>
    <pivotField axis="axisRow" showAll="0">
      <items count="3">
        <item x="1"/>
        <item x="0"/>
        <item t="default"/>
      </items>
    </pivotField>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3">
    <i>
      <x/>
    </i>
    <i>
      <x v="1"/>
    </i>
    <i t="grand">
      <x/>
    </i>
  </rowItems>
  <colItems count="1">
    <i/>
  </colItems>
  <dataFields count="1">
    <dataField name="Sum of TotalAmount" fld="8" baseField="0" baseItem="0"/>
  </dataFields>
  <chartFormats count="10">
    <chartFormat chart="1"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5" count="1" selected="0">
            <x v="0"/>
          </reference>
        </references>
      </pivotArea>
    </chartFormat>
    <chartFormat chart="3" format="3">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5" count="1" selected="0">
            <x v="0"/>
          </reference>
        </references>
      </pivotArea>
    </chartFormat>
    <chartFormat chart="4" format="6">
      <pivotArea type="data" outline="0" fieldPosition="0">
        <references count="2">
          <reference field="4294967294" count="1" selected="0">
            <x v="0"/>
          </reference>
          <reference field="5"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5" count="1" selected="0">
            <x v="0"/>
          </reference>
        </references>
      </pivotArea>
    </chartFormat>
    <chartFormat chart="5"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5AD183-BA32-46E8-B984-32801C155404}"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B7" firstHeaderRow="1" firstDataRow="1" firstDataCol="1"/>
  <pivotFields count="13">
    <pivotField showAll="0"/>
    <pivotField axis="axisRow" numFmtId="14" showAll="0">
      <items count="39">
        <item x="29"/>
        <item x="1"/>
        <item x="33"/>
        <item x="24"/>
        <item x="0"/>
        <item x="16"/>
        <item x="34"/>
        <item x="10"/>
        <item x="22"/>
        <item x="6"/>
        <item x="32"/>
        <item x="13"/>
        <item x="36"/>
        <item x="26"/>
        <item x="19"/>
        <item x="27"/>
        <item x="11"/>
        <item x="8"/>
        <item x="30"/>
        <item x="20"/>
        <item x="5"/>
        <item x="17"/>
        <item x="35"/>
        <item x="4"/>
        <item x="25"/>
        <item x="14"/>
        <item x="31"/>
        <item x="15"/>
        <item x="7"/>
        <item x="23"/>
        <item x="3"/>
        <item x="12"/>
        <item x="21"/>
        <item x="28"/>
        <item x="9"/>
        <item x="37"/>
        <item x="18"/>
        <item x="2"/>
        <item t="default"/>
      </items>
    </pivotField>
    <pivotField showAll="0"/>
    <pivotField showAll="0"/>
    <pivotField showAll="0"/>
    <pivotField showAll="0"/>
    <pivotField showAll="0"/>
    <pivotField showAll="0"/>
    <pivotField dataField="1"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2"/>
    <field x="11"/>
    <field x="1"/>
  </rowFields>
  <rowItems count="4">
    <i>
      <x v="1"/>
    </i>
    <i>
      <x v="2"/>
    </i>
    <i>
      <x v="3"/>
    </i>
    <i t="grand">
      <x/>
    </i>
  </rowItems>
  <colItems count="1">
    <i/>
  </colItems>
  <dataFields count="1">
    <dataField name="Sum of TotalAmount" fld="8" baseField="0" baseItem="0"/>
  </dataFields>
  <chartFormats count="2">
    <chartFormat chart="18"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C650D8-31BE-4F60-B192-E8BB69405E4E}"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13">
    <pivotField showAll="0"/>
    <pivotField numFmtId="14" showAll="0">
      <items count="39">
        <item x="29"/>
        <item x="1"/>
        <item x="33"/>
        <item x="24"/>
        <item x="0"/>
        <item x="16"/>
        <item x="34"/>
        <item x="10"/>
        <item x="22"/>
        <item x="6"/>
        <item x="32"/>
        <item x="13"/>
        <item x="36"/>
        <item x="26"/>
        <item x="19"/>
        <item x="27"/>
        <item x="11"/>
        <item x="8"/>
        <item x="30"/>
        <item x="20"/>
        <item x="5"/>
        <item x="17"/>
        <item x="35"/>
        <item x="4"/>
        <item x="25"/>
        <item x="14"/>
        <item x="31"/>
        <item x="15"/>
        <item x="7"/>
        <item x="23"/>
        <item x="3"/>
        <item x="12"/>
        <item x="21"/>
        <item x="28"/>
        <item x="9"/>
        <item x="37"/>
        <item x="18"/>
        <item x="2"/>
        <item t="default"/>
      </items>
    </pivotField>
    <pivotField showAll="0"/>
    <pivotField axis="axisRow" showAll="0">
      <items count="6">
        <item x="2"/>
        <item x="1"/>
        <item x="4"/>
        <item x="0"/>
        <item x="3"/>
        <item t="default"/>
      </items>
    </pivotField>
    <pivotField showAll="0"/>
    <pivotField showAll="0"/>
    <pivotField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Items count="1">
    <i/>
  </colItems>
  <dataFields count="1">
    <dataField name="Sum of TotalAmount" fld="8"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56B94C69-47B8-47CA-8118-AD24CAECDB71}" sourceName="Date">
  <pivotTables>
    <pivotTable tabId="2" name="PivotTable1"/>
  </pivotTables>
  <data>
    <tabular pivotCacheId="380753891">
      <items count="38">
        <i x="29" s="1"/>
        <i x="1" s="1"/>
        <i x="33" s="1"/>
        <i x="24" s="1"/>
        <i x="0" s="1"/>
        <i x="16" s="1"/>
        <i x="34" s="1"/>
        <i x="10" s="1"/>
        <i x="22" s="1"/>
        <i x="6" s="1"/>
        <i x="32" s="1"/>
        <i x="13" s="1"/>
        <i x="36" s="1"/>
        <i x="26" s="1"/>
        <i x="19" s="1"/>
        <i x="27" s="1"/>
        <i x="11" s="1"/>
        <i x="8" s="1"/>
        <i x="30" s="1"/>
        <i x="20" s="1"/>
        <i x="5" s="1"/>
        <i x="17" s="1"/>
        <i x="35" s="1"/>
        <i x="4" s="1"/>
        <i x="25" s="1"/>
        <i x="14" s="1"/>
        <i x="31" s="1"/>
        <i x="15" s="1"/>
        <i x="7" s="1"/>
        <i x="23" s="1"/>
        <i x="3" s="1"/>
        <i x="12" s="1"/>
        <i x="21" s="1"/>
        <i x="28" s="1"/>
        <i x="9" s="1"/>
        <i x="37" s="1"/>
        <i x="18"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CAC66CE-75AE-4FF1-8841-E57CF36E9925}" sourceName="Region">
  <pivotTables>
    <pivotTable tabId="2" name="PivotTable1"/>
  </pivotTables>
  <data>
    <tabular pivotCacheId="380753891">
      <items count="4">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Channel" xr10:uid="{5D5959DD-78D9-4393-B474-BA1AC8866461}" sourceName="SalesChannel">
  <pivotTables>
    <pivotTable tabId="2" name="PivotTable1"/>
  </pivotTables>
  <data>
    <tabular pivotCacheId="38075389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4A646308-07AA-498F-AB25-7E851AE24BED}" cache="Slicer_Date" caption="Date" rowHeight="234950"/>
  <slicer name="Region" xr10:uid="{130C3D50-5104-40E5-9AD3-4113090D69AF}" cache="Slicer_Region" caption="Region" rowHeight="234950"/>
  <slicer name="SalesChannel" xr10:uid="{CE552672-42B6-4A45-8F66-68EF5B0D7680}" cache="Slicer_SalesChannel" caption="SalesChannel"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1E6D0-59F5-460E-8EB5-F60A4A502802}">
  <dimension ref="A3:B8"/>
  <sheetViews>
    <sheetView workbookViewId="0">
      <selection activeCell="M13" sqref="M13"/>
    </sheetView>
  </sheetViews>
  <sheetFormatPr defaultRowHeight="14.4" x14ac:dyDescent="0.3"/>
  <cols>
    <col min="1" max="1" width="12.5546875" bestFit="1" customWidth="1"/>
    <col min="2" max="2" width="18.77734375" bestFit="1" customWidth="1"/>
  </cols>
  <sheetData>
    <row r="3" spans="1:2" x14ac:dyDescent="0.3">
      <c r="A3" s="2" t="s">
        <v>144</v>
      </c>
      <c r="B3" t="s">
        <v>146</v>
      </c>
    </row>
    <row r="4" spans="1:2" x14ac:dyDescent="0.3">
      <c r="A4" s="3" t="s">
        <v>14</v>
      </c>
      <c r="B4" s="4">
        <v>3315.76</v>
      </c>
    </row>
    <row r="5" spans="1:2" x14ac:dyDescent="0.3">
      <c r="A5" s="3" t="s">
        <v>25</v>
      </c>
      <c r="B5" s="4">
        <v>1309.67</v>
      </c>
    </row>
    <row r="6" spans="1:2" x14ac:dyDescent="0.3">
      <c r="A6" s="3" t="s">
        <v>21</v>
      </c>
      <c r="B6" s="4">
        <v>1698.79</v>
      </c>
    </row>
    <row r="7" spans="1:2" x14ac:dyDescent="0.3">
      <c r="A7" s="3" t="s">
        <v>37</v>
      </c>
      <c r="B7" s="4">
        <v>1721</v>
      </c>
    </row>
    <row r="8" spans="1:2" x14ac:dyDescent="0.3">
      <c r="A8" s="3" t="s">
        <v>145</v>
      </c>
      <c r="B8" s="4">
        <v>8045.22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7AB68-C50A-4363-9F03-E5849FD09BC4}">
  <dimension ref="A3:B10"/>
  <sheetViews>
    <sheetView workbookViewId="0">
      <selection activeCell="B5" sqref="B5"/>
    </sheetView>
  </sheetViews>
  <sheetFormatPr defaultRowHeight="14.4" x14ac:dyDescent="0.3"/>
  <cols>
    <col min="1" max="1" width="12.5546875" bestFit="1" customWidth="1"/>
    <col min="2" max="2" width="18.77734375" bestFit="1" customWidth="1"/>
  </cols>
  <sheetData>
    <row r="3" spans="1:2" x14ac:dyDescent="0.3">
      <c r="A3" s="2" t="s">
        <v>144</v>
      </c>
      <c r="B3" t="s">
        <v>146</v>
      </c>
    </row>
    <row r="4" spans="1:2" x14ac:dyDescent="0.3">
      <c r="A4" s="3" t="s">
        <v>32</v>
      </c>
      <c r="B4" s="4">
        <v>1291.76</v>
      </c>
    </row>
    <row r="5" spans="1:2" x14ac:dyDescent="0.3">
      <c r="A5" s="3" t="s">
        <v>67</v>
      </c>
      <c r="B5" s="4">
        <v>450</v>
      </c>
    </row>
    <row r="6" spans="1:2" x14ac:dyDescent="0.3">
      <c r="A6" s="3" t="s">
        <v>58</v>
      </c>
      <c r="B6" s="4">
        <v>1350</v>
      </c>
    </row>
    <row r="7" spans="1:2" x14ac:dyDescent="0.3">
      <c r="A7" s="3" t="s">
        <v>79</v>
      </c>
      <c r="B7" s="4">
        <v>360</v>
      </c>
    </row>
    <row r="8" spans="1:2" x14ac:dyDescent="0.3">
      <c r="A8" s="3" t="s">
        <v>40</v>
      </c>
      <c r="B8" s="4">
        <v>360</v>
      </c>
    </row>
    <row r="9" spans="1:2" x14ac:dyDescent="0.3">
      <c r="A9" s="3" t="s">
        <v>12</v>
      </c>
      <c r="B9" s="4">
        <v>2053.67</v>
      </c>
    </row>
    <row r="10" spans="1:2" x14ac:dyDescent="0.3">
      <c r="A10" s="3" t="s">
        <v>145</v>
      </c>
      <c r="B10" s="4">
        <v>5865.43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56213-92FF-42A2-82D5-D6F2D62FB4A1}">
  <dimension ref="A3:B6"/>
  <sheetViews>
    <sheetView workbookViewId="0">
      <selection activeCell="M18" sqref="M18"/>
    </sheetView>
  </sheetViews>
  <sheetFormatPr defaultRowHeight="14.4" x14ac:dyDescent="0.3"/>
  <cols>
    <col min="1" max="1" width="12.5546875" bestFit="1" customWidth="1"/>
    <col min="2" max="2" width="18.77734375" bestFit="1" customWidth="1"/>
  </cols>
  <sheetData>
    <row r="3" spans="1:2" x14ac:dyDescent="0.3">
      <c r="A3" s="2" t="s">
        <v>144</v>
      </c>
      <c r="B3" t="s">
        <v>146</v>
      </c>
    </row>
    <row r="4" spans="1:2" x14ac:dyDescent="0.3">
      <c r="A4" s="3" t="s">
        <v>28</v>
      </c>
      <c r="B4" s="4">
        <v>3662.7</v>
      </c>
    </row>
    <row r="5" spans="1:2" x14ac:dyDescent="0.3">
      <c r="A5" s="3" t="s">
        <v>15</v>
      </c>
      <c r="B5" s="4">
        <v>4382.5200000000004</v>
      </c>
    </row>
    <row r="6" spans="1:2" x14ac:dyDescent="0.3">
      <c r="A6" s="3" t="s">
        <v>145</v>
      </c>
      <c r="B6" s="4">
        <v>8045.22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DE623-37CA-423F-9593-3DBE99D92A72}">
  <dimension ref="A3:B7"/>
  <sheetViews>
    <sheetView workbookViewId="0">
      <selection activeCell="J26" sqref="J26"/>
    </sheetView>
  </sheetViews>
  <sheetFormatPr defaultRowHeight="14.4" x14ac:dyDescent="0.3"/>
  <cols>
    <col min="1" max="1" width="12.5546875" bestFit="1" customWidth="1"/>
    <col min="2" max="2" width="18.77734375" bestFit="1" customWidth="1"/>
  </cols>
  <sheetData>
    <row r="3" spans="1:2" x14ac:dyDescent="0.3">
      <c r="A3" s="2" t="s">
        <v>144</v>
      </c>
      <c r="B3" t="s">
        <v>146</v>
      </c>
    </row>
    <row r="4" spans="1:2" x14ac:dyDescent="0.3">
      <c r="A4" s="3" t="s">
        <v>147</v>
      </c>
      <c r="B4" s="4">
        <v>1791.0900000000001</v>
      </c>
    </row>
    <row r="5" spans="1:2" x14ac:dyDescent="0.3">
      <c r="A5" s="3" t="s">
        <v>148</v>
      </c>
      <c r="B5" s="4">
        <v>2287.7600000000002</v>
      </c>
    </row>
    <row r="6" spans="1:2" x14ac:dyDescent="0.3">
      <c r="A6" s="3" t="s">
        <v>149</v>
      </c>
      <c r="B6" s="4">
        <v>3966.37</v>
      </c>
    </row>
    <row r="7" spans="1:2" x14ac:dyDescent="0.3">
      <c r="A7" s="3" t="s">
        <v>145</v>
      </c>
      <c r="B7" s="4">
        <v>8045.22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9806-D99B-46AE-9330-B87CBC9B0B7F}">
  <dimension ref="A3:B9"/>
  <sheetViews>
    <sheetView workbookViewId="0">
      <selection activeCell="J26" sqref="J26"/>
    </sheetView>
  </sheetViews>
  <sheetFormatPr defaultRowHeight="14.4" x14ac:dyDescent="0.3"/>
  <cols>
    <col min="1" max="1" width="15.109375" bestFit="1" customWidth="1"/>
    <col min="2" max="2" width="18.77734375" bestFit="1" customWidth="1"/>
  </cols>
  <sheetData>
    <row r="3" spans="1:2" x14ac:dyDescent="0.3">
      <c r="A3" s="2" t="s">
        <v>144</v>
      </c>
      <c r="B3" t="s">
        <v>146</v>
      </c>
    </row>
    <row r="4" spans="1:2" x14ac:dyDescent="0.3">
      <c r="A4" s="3" t="s">
        <v>36</v>
      </c>
      <c r="B4" s="4">
        <v>596</v>
      </c>
    </row>
    <row r="5" spans="1:2" x14ac:dyDescent="0.3">
      <c r="A5" s="3" t="s">
        <v>20</v>
      </c>
      <c r="B5" s="4">
        <v>3085.55</v>
      </c>
    </row>
    <row r="6" spans="1:2" x14ac:dyDescent="0.3">
      <c r="A6" s="3" t="s">
        <v>49</v>
      </c>
      <c r="B6" s="4">
        <v>790</v>
      </c>
    </row>
    <row r="7" spans="1:2" x14ac:dyDescent="0.3">
      <c r="A7" s="3" t="s">
        <v>13</v>
      </c>
      <c r="B7" s="4">
        <v>2908.67</v>
      </c>
    </row>
    <row r="8" spans="1:2" x14ac:dyDescent="0.3">
      <c r="A8" s="3" t="s">
        <v>41</v>
      </c>
      <c r="B8" s="4">
        <v>665</v>
      </c>
    </row>
    <row r="9" spans="1:2" x14ac:dyDescent="0.3">
      <c r="A9" s="3" t="s">
        <v>145</v>
      </c>
      <c r="B9" s="4">
        <v>8045.22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C09DC-8651-490A-8CB1-D7B38BF514F4}">
  <dimension ref="B1:V7"/>
  <sheetViews>
    <sheetView tabSelected="1" topLeftCell="A42" workbookViewId="0">
      <selection activeCell="K22" sqref="K22"/>
    </sheetView>
  </sheetViews>
  <sheetFormatPr defaultRowHeight="14.4" x14ac:dyDescent="0.3"/>
  <sheetData>
    <row r="1" spans="2:22" ht="15" thickBot="1" x14ac:dyDescent="0.35"/>
    <row r="2" spans="2:22" ht="14.4" customHeight="1" x14ac:dyDescent="0.3">
      <c r="B2" s="16" t="s">
        <v>150</v>
      </c>
      <c r="C2" s="17"/>
      <c r="D2" s="17"/>
      <c r="E2" s="17"/>
      <c r="F2" s="17"/>
      <c r="G2" s="17"/>
      <c r="H2" s="17"/>
      <c r="I2" s="17"/>
      <c r="J2" s="17"/>
      <c r="K2" s="17"/>
      <c r="L2" s="17"/>
      <c r="M2" s="17"/>
      <c r="N2" s="17"/>
      <c r="O2" s="17"/>
      <c r="P2" s="17"/>
      <c r="Q2" s="17"/>
      <c r="R2" s="17"/>
      <c r="S2" s="17"/>
      <c r="T2" s="17"/>
      <c r="U2" s="17"/>
      <c r="V2" s="18"/>
    </row>
    <row r="3" spans="2:22" ht="14.4" customHeight="1" thickBot="1" x14ac:dyDescent="0.35">
      <c r="B3" s="19"/>
      <c r="C3" s="20"/>
      <c r="D3" s="20"/>
      <c r="E3" s="20"/>
      <c r="F3" s="20"/>
      <c r="G3" s="20"/>
      <c r="H3" s="20"/>
      <c r="I3" s="20"/>
      <c r="J3" s="20"/>
      <c r="K3" s="20"/>
      <c r="L3" s="20"/>
      <c r="M3" s="20"/>
      <c r="N3" s="20"/>
      <c r="O3" s="20"/>
      <c r="P3" s="20"/>
      <c r="Q3" s="20"/>
      <c r="R3" s="20"/>
      <c r="S3" s="20"/>
      <c r="T3" s="20"/>
      <c r="U3" s="20"/>
      <c r="V3" s="21"/>
    </row>
    <row r="5" spans="2:22" ht="18" x14ac:dyDescent="0.3">
      <c r="B5" s="6">
        <f>SUM(DataSet!I1:I51)</f>
        <v>8045.22</v>
      </c>
      <c r="C5" s="7"/>
      <c r="D5" s="7"/>
      <c r="E5" s="8"/>
      <c r="F5" s="5"/>
      <c r="G5" s="15">
        <f>COUNTA(DataSet!A2:A51)</f>
        <v>50</v>
      </c>
      <c r="H5" s="15"/>
      <c r="I5" s="15"/>
      <c r="J5" s="15"/>
      <c r="K5" s="5"/>
      <c r="L5" s="15">
        <f>COUNTA(_xlfn.UNIQUE(DataSet!K2:K51))</f>
        <v>48</v>
      </c>
      <c r="M5" s="15"/>
      <c r="N5" s="15"/>
      <c r="O5" s="15"/>
      <c r="P5" s="5"/>
      <c r="Q5" s="15">
        <f>AVERAGE(DataSet!I2:I51)</f>
        <v>160.90440000000001</v>
      </c>
      <c r="R5" s="15"/>
      <c r="S5" s="15"/>
      <c r="T5" s="15"/>
    </row>
    <row r="6" spans="2:22" ht="18" x14ac:dyDescent="0.3">
      <c r="B6" s="9"/>
      <c r="C6" s="10"/>
      <c r="D6" s="10"/>
      <c r="E6" s="11"/>
      <c r="F6" s="5"/>
      <c r="G6" s="15"/>
      <c r="H6" s="15"/>
      <c r="I6" s="15"/>
      <c r="J6" s="15"/>
      <c r="K6" s="5"/>
      <c r="L6" s="15"/>
      <c r="M6" s="15"/>
      <c r="N6" s="15"/>
      <c r="O6" s="15"/>
      <c r="P6" s="5"/>
      <c r="Q6" s="15"/>
      <c r="R6" s="15"/>
      <c r="S6" s="15"/>
      <c r="T6" s="15"/>
    </row>
    <row r="7" spans="2:22" ht="18" x14ac:dyDescent="0.3">
      <c r="B7" s="12"/>
      <c r="C7" s="13"/>
      <c r="D7" s="13"/>
      <c r="E7" s="14"/>
      <c r="F7" s="5"/>
      <c r="G7" s="15"/>
      <c r="H7" s="15"/>
      <c r="I7" s="15"/>
      <c r="J7" s="15"/>
      <c r="K7" s="5"/>
      <c r="L7" s="15"/>
      <c r="M7" s="15"/>
      <c r="N7" s="15"/>
      <c r="O7" s="15"/>
      <c r="P7" s="5"/>
      <c r="Q7" s="15"/>
      <c r="R7" s="15"/>
      <c r="S7" s="15"/>
      <c r="T7" s="15"/>
    </row>
  </sheetData>
  <mergeCells count="5">
    <mergeCell ref="B2:V3"/>
    <mergeCell ref="B5:E7"/>
    <mergeCell ref="G5:J7"/>
    <mergeCell ref="L5:O7"/>
    <mergeCell ref="Q5:T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922C6-57A1-4985-99B3-FDA75F08EB24}">
  <dimension ref="A1:K51"/>
  <sheetViews>
    <sheetView zoomScale="109" zoomScaleNormal="85" workbookViewId="0">
      <selection activeCell="C53" sqref="C53"/>
    </sheetView>
  </sheetViews>
  <sheetFormatPr defaultRowHeight="14.4" x14ac:dyDescent="0.3"/>
  <cols>
    <col min="1" max="1" width="12.33203125" bestFit="1" customWidth="1"/>
    <col min="2" max="2" width="10.33203125" style="1" bestFit="1" customWidth="1"/>
    <col min="3" max="3" width="12.21875" bestFit="1" customWidth="1"/>
    <col min="4" max="4" width="15.109375" bestFit="1" customWidth="1"/>
    <col min="5" max="5" width="6.5546875" bestFit="1" customWidth="1"/>
    <col min="6" max="6" width="11.6640625" bestFit="1" customWidth="1"/>
    <col min="7" max="7" width="8" bestFit="1" customWidth="1"/>
    <col min="8" max="8" width="8.44140625" bestFit="1" customWidth="1"/>
    <col min="9" max="9" width="11.6640625" bestFit="1" customWidth="1"/>
    <col min="10" max="10" width="12.88671875" bestFit="1" customWidth="1"/>
    <col min="11" max="11" width="10.6640625" bestFit="1" customWidth="1"/>
  </cols>
  <sheetData>
    <row r="1" spans="1:11" x14ac:dyDescent="0.3">
      <c r="A1" t="s">
        <v>0</v>
      </c>
      <c r="B1" s="1" t="s">
        <v>1</v>
      </c>
      <c r="C1" t="s">
        <v>2</v>
      </c>
      <c r="D1" t="s">
        <v>3</v>
      </c>
      <c r="E1" t="s">
        <v>4</v>
      </c>
      <c r="F1" t="s">
        <v>5</v>
      </c>
      <c r="G1" t="s">
        <v>6</v>
      </c>
      <c r="H1" t="s">
        <v>7</v>
      </c>
      <c r="I1" t="s">
        <v>8</v>
      </c>
      <c r="J1" t="s">
        <v>9</v>
      </c>
      <c r="K1" t="s">
        <v>10</v>
      </c>
    </row>
    <row r="2" spans="1:11" x14ac:dyDescent="0.3">
      <c r="A2" t="s">
        <v>11</v>
      </c>
      <c r="B2" s="1">
        <v>46033</v>
      </c>
      <c r="C2" t="s">
        <v>12</v>
      </c>
      <c r="D2" t="s">
        <v>13</v>
      </c>
      <c r="E2" t="s">
        <v>14</v>
      </c>
      <c r="F2" t="s">
        <v>15</v>
      </c>
      <c r="G2">
        <v>1</v>
      </c>
      <c r="H2">
        <v>17.3</v>
      </c>
      <c r="I2">
        <v>17.3</v>
      </c>
      <c r="J2" t="s">
        <v>16</v>
      </c>
      <c r="K2" t="s">
        <v>17</v>
      </c>
    </row>
    <row r="3" spans="1:11" x14ac:dyDescent="0.3">
      <c r="A3" t="s">
        <v>18</v>
      </c>
      <c r="B3" s="1">
        <v>46029</v>
      </c>
      <c r="C3" t="s">
        <v>19</v>
      </c>
      <c r="D3" t="s">
        <v>20</v>
      </c>
      <c r="E3" t="s">
        <v>21</v>
      </c>
      <c r="F3" t="s">
        <v>15</v>
      </c>
      <c r="G3">
        <v>1</v>
      </c>
      <c r="H3">
        <v>43.79</v>
      </c>
      <c r="I3">
        <v>43.79</v>
      </c>
      <c r="J3" t="s">
        <v>22</v>
      </c>
      <c r="K3" t="s">
        <v>23</v>
      </c>
    </row>
    <row r="4" spans="1:11" x14ac:dyDescent="0.3">
      <c r="A4" t="s">
        <v>24</v>
      </c>
      <c r="B4" s="1">
        <v>46109</v>
      </c>
      <c r="C4" t="s">
        <v>12</v>
      </c>
      <c r="D4" t="s">
        <v>13</v>
      </c>
      <c r="E4" t="s">
        <v>25</v>
      </c>
      <c r="F4" t="s">
        <v>15</v>
      </c>
      <c r="G4">
        <v>1</v>
      </c>
      <c r="H4">
        <v>279.67</v>
      </c>
      <c r="I4">
        <v>279.67</v>
      </c>
      <c r="J4" t="s">
        <v>16</v>
      </c>
      <c r="K4" t="s">
        <v>26</v>
      </c>
    </row>
    <row r="5" spans="1:11" x14ac:dyDescent="0.3">
      <c r="A5" t="s">
        <v>27</v>
      </c>
      <c r="B5" s="1">
        <v>46091</v>
      </c>
      <c r="C5" t="s">
        <v>12</v>
      </c>
      <c r="D5" t="s">
        <v>13</v>
      </c>
      <c r="E5" t="s">
        <v>14</v>
      </c>
      <c r="F5" t="s">
        <v>28</v>
      </c>
      <c r="G5">
        <v>5</v>
      </c>
      <c r="H5">
        <v>346.34</v>
      </c>
      <c r="I5">
        <v>1731.7</v>
      </c>
      <c r="J5" t="s">
        <v>29</v>
      </c>
      <c r="K5" t="s">
        <v>30</v>
      </c>
    </row>
    <row r="6" spans="1:11" x14ac:dyDescent="0.3">
      <c r="A6" t="s">
        <v>31</v>
      </c>
      <c r="B6" s="1">
        <v>46075</v>
      </c>
      <c r="C6" t="s">
        <v>32</v>
      </c>
      <c r="D6" t="s">
        <v>20</v>
      </c>
      <c r="E6" t="s">
        <v>14</v>
      </c>
      <c r="F6" t="s">
        <v>15</v>
      </c>
      <c r="G6">
        <v>3</v>
      </c>
      <c r="H6">
        <v>163.92</v>
      </c>
      <c r="I6">
        <v>491.76</v>
      </c>
      <c r="J6" t="s">
        <v>22</v>
      </c>
      <c r="K6" t="s">
        <v>33</v>
      </c>
    </row>
    <row r="7" spans="1:11" x14ac:dyDescent="0.3">
      <c r="A7" t="s">
        <v>34</v>
      </c>
      <c r="B7" s="1">
        <v>46068</v>
      </c>
      <c r="C7" t="s">
        <v>35</v>
      </c>
      <c r="D7" t="s">
        <v>36</v>
      </c>
      <c r="E7" t="s">
        <v>37</v>
      </c>
      <c r="F7" t="s">
        <v>28</v>
      </c>
      <c r="G7">
        <v>2</v>
      </c>
      <c r="H7">
        <v>85.5</v>
      </c>
      <c r="I7">
        <v>171</v>
      </c>
      <c r="J7" t="s">
        <v>29</v>
      </c>
      <c r="K7" t="s">
        <v>38</v>
      </c>
    </row>
    <row r="8" spans="1:11" x14ac:dyDescent="0.3">
      <c r="A8" t="s">
        <v>39</v>
      </c>
      <c r="B8" s="1">
        <v>46042</v>
      </c>
      <c r="C8" t="s">
        <v>40</v>
      </c>
      <c r="D8" t="s">
        <v>41</v>
      </c>
      <c r="E8" t="s">
        <v>21</v>
      </c>
      <c r="F8" t="s">
        <v>15</v>
      </c>
      <c r="G8">
        <v>1</v>
      </c>
      <c r="H8">
        <v>120</v>
      </c>
      <c r="I8">
        <v>120</v>
      </c>
      <c r="J8" t="s">
        <v>42</v>
      </c>
      <c r="K8" t="s">
        <v>43</v>
      </c>
    </row>
    <row r="9" spans="1:11" x14ac:dyDescent="0.3">
      <c r="A9" t="s">
        <v>44</v>
      </c>
      <c r="B9" s="1">
        <v>46086</v>
      </c>
      <c r="C9" t="s">
        <v>45</v>
      </c>
      <c r="D9" t="s">
        <v>20</v>
      </c>
      <c r="E9" t="s">
        <v>25</v>
      </c>
      <c r="F9" t="s">
        <v>15</v>
      </c>
      <c r="G9">
        <v>2</v>
      </c>
      <c r="H9">
        <v>50</v>
      </c>
      <c r="I9">
        <v>100</v>
      </c>
      <c r="J9" t="s">
        <v>16</v>
      </c>
      <c r="K9" t="s">
        <v>46</v>
      </c>
    </row>
    <row r="10" spans="1:11" x14ac:dyDescent="0.3">
      <c r="A10" t="s">
        <v>47</v>
      </c>
      <c r="B10" s="1">
        <v>46063</v>
      </c>
      <c r="C10" t="s">
        <v>48</v>
      </c>
      <c r="D10" t="s">
        <v>49</v>
      </c>
      <c r="E10" t="s">
        <v>14</v>
      </c>
      <c r="F10" t="s">
        <v>28</v>
      </c>
      <c r="G10">
        <v>1</v>
      </c>
      <c r="H10">
        <v>45</v>
      </c>
      <c r="I10">
        <v>45</v>
      </c>
      <c r="J10" t="s">
        <v>22</v>
      </c>
      <c r="K10" t="s">
        <v>50</v>
      </c>
    </row>
    <row r="11" spans="1:11" x14ac:dyDescent="0.3">
      <c r="A11" t="s">
        <v>51</v>
      </c>
      <c r="B11" s="1">
        <v>46101</v>
      </c>
      <c r="C11" t="s">
        <v>52</v>
      </c>
      <c r="D11" t="s">
        <v>13</v>
      </c>
      <c r="E11" t="s">
        <v>37</v>
      </c>
      <c r="F11" t="s">
        <v>15</v>
      </c>
      <c r="G11">
        <v>1</v>
      </c>
      <c r="H11">
        <v>60</v>
      </c>
      <c r="I11">
        <v>60</v>
      </c>
      <c r="J11" t="s">
        <v>29</v>
      </c>
      <c r="K11" t="s">
        <v>53</v>
      </c>
    </row>
    <row r="12" spans="1:11" x14ac:dyDescent="0.3">
      <c r="A12" t="s">
        <v>54</v>
      </c>
      <c r="B12" s="1">
        <v>46037</v>
      </c>
      <c r="C12" t="s">
        <v>55</v>
      </c>
      <c r="D12" t="s">
        <v>41</v>
      </c>
      <c r="E12" t="s">
        <v>25</v>
      </c>
      <c r="F12" t="s">
        <v>28</v>
      </c>
      <c r="G12">
        <v>2</v>
      </c>
      <c r="H12">
        <v>25</v>
      </c>
      <c r="I12">
        <v>50</v>
      </c>
      <c r="J12" t="s">
        <v>16</v>
      </c>
      <c r="K12" t="s">
        <v>56</v>
      </c>
    </row>
    <row r="13" spans="1:11" x14ac:dyDescent="0.3">
      <c r="A13" t="s">
        <v>57</v>
      </c>
      <c r="B13" s="1">
        <v>46058</v>
      </c>
      <c r="C13" t="s">
        <v>58</v>
      </c>
      <c r="D13" t="s">
        <v>20</v>
      </c>
      <c r="E13" t="s">
        <v>21</v>
      </c>
      <c r="F13" t="s">
        <v>15</v>
      </c>
      <c r="G13">
        <v>1</v>
      </c>
      <c r="H13">
        <v>450</v>
      </c>
      <c r="I13">
        <v>450</v>
      </c>
      <c r="J13" t="s">
        <v>42</v>
      </c>
      <c r="K13" t="s">
        <v>59</v>
      </c>
    </row>
    <row r="14" spans="1:11" x14ac:dyDescent="0.3">
      <c r="A14" t="s">
        <v>60</v>
      </c>
      <c r="B14" s="1">
        <v>46093</v>
      </c>
      <c r="C14" t="s">
        <v>61</v>
      </c>
      <c r="D14" t="s">
        <v>49</v>
      </c>
      <c r="E14" t="s">
        <v>14</v>
      </c>
      <c r="F14" t="s">
        <v>15</v>
      </c>
      <c r="G14">
        <v>3</v>
      </c>
      <c r="H14">
        <v>15</v>
      </c>
      <c r="I14">
        <v>45</v>
      </c>
      <c r="J14" t="s">
        <v>22</v>
      </c>
      <c r="K14" t="s">
        <v>62</v>
      </c>
    </row>
    <row r="15" spans="1:11" x14ac:dyDescent="0.3">
      <c r="A15" t="s">
        <v>63</v>
      </c>
      <c r="B15" s="1">
        <v>46047</v>
      </c>
      <c r="C15" t="s">
        <v>64</v>
      </c>
      <c r="D15" t="s">
        <v>36</v>
      </c>
      <c r="E15" t="s">
        <v>37</v>
      </c>
      <c r="F15" t="s">
        <v>28</v>
      </c>
      <c r="G15">
        <v>1</v>
      </c>
      <c r="H15">
        <v>30</v>
      </c>
      <c r="I15">
        <v>30</v>
      </c>
      <c r="J15" t="s">
        <v>29</v>
      </c>
      <c r="K15" t="s">
        <v>65</v>
      </c>
    </row>
    <row r="16" spans="1:11" x14ac:dyDescent="0.3">
      <c r="A16" t="s">
        <v>66</v>
      </c>
      <c r="B16" s="1">
        <v>46081</v>
      </c>
      <c r="C16" t="s">
        <v>67</v>
      </c>
      <c r="D16" t="s">
        <v>13</v>
      </c>
      <c r="E16" t="s">
        <v>25</v>
      </c>
      <c r="F16" t="s">
        <v>15</v>
      </c>
      <c r="G16">
        <v>1</v>
      </c>
      <c r="H16">
        <v>150</v>
      </c>
      <c r="I16">
        <v>150</v>
      </c>
      <c r="J16" t="s">
        <v>16</v>
      </c>
      <c r="K16" t="s">
        <v>68</v>
      </c>
    </row>
    <row r="17" spans="1:11" x14ac:dyDescent="0.3">
      <c r="A17" t="s">
        <v>69</v>
      </c>
      <c r="B17" s="1">
        <v>46083</v>
      </c>
      <c r="C17" t="s">
        <v>70</v>
      </c>
      <c r="D17" t="s">
        <v>49</v>
      </c>
      <c r="E17" t="s">
        <v>21</v>
      </c>
      <c r="F17" t="s">
        <v>28</v>
      </c>
      <c r="G17">
        <v>1</v>
      </c>
      <c r="H17">
        <v>80</v>
      </c>
      <c r="I17">
        <v>80</v>
      </c>
      <c r="J17" t="s">
        <v>42</v>
      </c>
      <c r="K17" t="s">
        <v>71</v>
      </c>
    </row>
    <row r="18" spans="1:11" x14ac:dyDescent="0.3">
      <c r="A18" t="s">
        <v>72</v>
      </c>
      <c r="B18" s="1">
        <v>46034</v>
      </c>
      <c r="C18" t="s">
        <v>73</v>
      </c>
      <c r="D18" t="s">
        <v>41</v>
      </c>
      <c r="E18" t="s">
        <v>14</v>
      </c>
      <c r="F18" t="s">
        <v>15</v>
      </c>
      <c r="G18">
        <v>2</v>
      </c>
      <c r="H18">
        <v>40</v>
      </c>
      <c r="I18">
        <v>80</v>
      </c>
      <c r="J18" t="s">
        <v>22</v>
      </c>
      <c r="K18" t="s">
        <v>74</v>
      </c>
    </row>
    <row r="19" spans="1:11" x14ac:dyDescent="0.3">
      <c r="A19" t="s">
        <v>75</v>
      </c>
      <c r="B19" s="1">
        <v>46071</v>
      </c>
      <c r="C19" t="s">
        <v>76</v>
      </c>
      <c r="D19" t="s">
        <v>36</v>
      </c>
      <c r="E19" t="s">
        <v>37</v>
      </c>
      <c r="F19" t="s">
        <v>15</v>
      </c>
      <c r="G19">
        <v>1</v>
      </c>
      <c r="H19">
        <v>55</v>
      </c>
      <c r="I19">
        <v>55</v>
      </c>
      <c r="J19" t="s">
        <v>29</v>
      </c>
      <c r="K19" t="s">
        <v>77</v>
      </c>
    </row>
    <row r="20" spans="1:11" x14ac:dyDescent="0.3">
      <c r="A20" t="s">
        <v>78</v>
      </c>
      <c r="B20" s="1">
        <v>46106</v>
      </c>
      <c r="C20" t="s">
        <v>79</v>
      </c>
      <c r="D20" t="s">
        <v>49</v>
      </c>
      <c r="E20" t="s">
        <v>25</v>
      </c>
      <c r="F20" t="s">
        <v>28</v>
      </c>
      <c r="G20">
        <v>1</v>
      </c>
      <c r="H20">
        <v>90</v>
      </c>
      <c r="I20">
        <v>90</v>
      </c>
      <c r="J20" t="s">
        <v>16</v>
      </c>
      <c r="K20" t="s">
        <v>80</v>
      </c>
    </row>
    <row r="21" spans="1:11" x14ac:dyDescent="0.3">
      <c r="A21" t="s">
        <v>81</v>
      </c>
      <c r="B21" s="1">
        <v>46052</v>
      </c>
      <c r="C21" t="s">
        <v>82</v>
      </c>
      <c r="D21" t="s">
        <v>13</v>
      </c>
      <c r="E21" t="s">
        <v>21</v>
      </c>
      <c r="F21" t="s">
        <v>15</v>
      </c>
      <c r="G21">
        <v>1</v>
      </c>
      <c r="H21">
        <v>75</v>
      </c>
      <c r="I21">
        <v>75</v>
      </c>
      <c r="J21" t="s">
        <v>42</v>
      </c>
      <c r="K21" t="s">
        <v>83</v>
      </c>
    </row>
    <row r="22" spans="1:11" x14ac:dyDescent="0.3">
      <c r="A22" t="s">
        <v>84</v>
      </c>
      <c r="B22" s="1">
        <v>46067</v>
      </c>
      <c r="C22" t="s">
        <v>45</v>
      </c>
      <c r="D22" t="s">
        <v>20</v>
      </c>
      <c r="E22" t="s">
        <v>14</v>
      </c>
      <c r="F22" t="s">
        <v>28</v>
      </c>
      <c r="G22">
        <v>2</v>
      </c>
      <c r="H22">
        <v>50</v>
      </c>
      <c r="I22">
        <v>100</v>
      </c>
      <c r="J22" t="s">
        <v>29</v>
      </c>
      <c r="K22" t="s">
        <v>30</v>
      </c>
    </row>
    <row r="23" spans="1:11" x14ac:dyDescent="0.3">
      <c r="A23" t="s">
        <v>85</v>
      </c>
      <c r="B23" s="1">
        <v>46096</v>
      </c>
      <c r="C23" t="s">
        <v>35</v>
      </c>
      <c r="D23" t="s">
        <v>36</v>
      </c>
      <c r="E23" t="s">
        <v>25</v>
      </c>
      <c r="F23" t="s">
        <v>15</v>
      </c>
      <c r="G23">
        <v>3</v>
      </c>
      <c r="H23">
        <v>20</v>
      </c>
      <c r="I23">
        <v>60</v>
      </c>
      <c r="J23" t="s">
        <v>22</v>
      </c>
      <c r="K23" t="s">
        <v>86</v>
      </c>
    </row>
    <row r="24" spans="1:11" x14ac:dyDescent="0.3">
      <c r="A24" t="s">
        <v>87</v>
      </c>
      <c r="B24" s="1">
        <v>46040</v>
      </c>
      <c r="C24" t="s">
        <v>58</v>
      </c>
      <c r="D24" t="s">
        <v>20</v>
      </c>
      <c r="E24" t="s">
        <v>37</v>
      </c>
      <c r="F24" t="s">
        <v>15</v>
      </c>
      <c r="G24">
        <v>1</v>
      </c>
      <c r="H24">
        <v>450</v>
      </c>
      <c r="I24">
        <v>450</v>
      </c>
      <c r="J24" t="s">
        <v>16</v>
      </c>
      <c r="K24" t="s">
        <v>88</v>
      </c>
    </row>
    <row r="25" spans="1:11" x14ac:dyDescent="0.3">
      <c r="A25" t="s">
        <v>89</v>
      </c>
      <c r="B25" s="1">
        <v>46075</v>
      </c>
      <c r="C25" t="s">
        <v>55</v>
      </c>
      <c r="D25" t="s">
        <v>41</v>
      </c>
      <c r="E25" t="s">
        <v>21</v>
      </c>
      <c r="F25" t="s">
        <v>28</v>
      </c>
      <c r="G25">
        <v>1</v>
      </c>
      <c r="H25">
        <v>25</v>
      </c>
      <c r="I25">
        <v>25</v>
      </c>
      <c r="J25" t="s">
        <v>42</v>
      </c>
      <c r="K25" t="s">
        <v>90</v>
      </c>
    </row>
    <row r="26" spans="1:11" x14ac:dyDescent="0.3">
      <c r="A26" t="s">
        <v>91</v>
      </c>
      <c r="B26" s="1">
        <v>46089</v>
      </c>
      <c r="C26" t="s">
        <v>61</v>
      </c>
      <c r="D26" t="s">
        <v>49</v>
      </c>
      <c r="E26" t="s">
        <v>14</v>
      </c>
      <c r="F26" t="s">
        <v>15</v>
      </c>
      <c r="G26">
        <v>2</v>
      </c>
      <c r="H26">
        <v>15</v>
      </c>
      <c r="I26">
        <v>30</v>
      </c>
      <c r="J26" t="s">
        <v>29</v>
      </c>
      <c r="K26" t="s">
        <v>92</v>
      </c>
    </row>
    <row r="27" spans="1:11" x14ac:dyDescent="0.3">
      <c r="A27" t="s">
        <v>93</v>
      </c>
      <c r="B27" s="1">
        <v>46032</v>
      </c>
      <c r="C27" t="s">
        <v>67</v>
      </c>
      <c r="D27" t="s">
        <v>13</v>
      </c>
      <c r="E27" t="s">
        <v>37</v>
      </c>
      <c r="F27" t="s">
        <v>15</v>
      </c>
      <c r="G27">
        <v>1</v>
      </c>
      <c r="H27">
        <v>150</v>
      </c>
      <c r="I27">
        <v>150</v>
      </c>
      <c r="J27" t="s">
        <v>22</v>
      </c>
      <c r="K27" t="s">
        <v>94</v>
      </c>
    </row>
    <row r="28" spans="1:11" x14ac:dyDescent="0.3">
      <c r="A28" t="s">
        <v>95</v>
      </c>
      <c r="B28" s="1">
        <v>46078</v>
      </c>
      <c r="C28" t="s">
        <v>40</v>
      </c>
      <c r="D28" t="s">
        <v>41</v>
      </c>
      <c r="E28" t="s">
        <v>25</v>
      </c>
      <c r="F28" t="s">
        <v>28</v>
      </c>
      <c r="G28">
        <v>1</v>
      </c>
      <c r="H28">
        <v>120</v>
      </c>
      <c r="I28">
        <v>120</v>
      </c>
      <c r="J28" t="s">
        <v>16</v>
      </c>
      <c r="K28" t="s">
        <v>96</v>
      </c>
    </row>
    <row r="29" spans="1:11" x14ac:dyDescent="0.3">
      <c r="A29" t="s">
        <v>97</v>
      </c>
      <c r="B29" s="1">
        <v>46101</v>
      </c>
      <c r="C29" t="s">
        <v>64</v>
      </c>
      <c r="D29" t="s">
        <v>36</v>
      </c>
      <c r="E29" t="s">
        <v>21</v>
      </c>
      <c r="F29" t="s">
        <v>15</v>
      </c>
      <c r="G29">
        <v>2</v>
      </c>
      <c r="H29">
        <v>30</v>
      </c>
      <c r="I29">
        <v>60</v>
      </c>
      <c r="J29" t="s">
        <v>42</v>
      </c>
      <c r="K29" t="s">
        <v>98</v>
      </c>
    </row>
    <row r="30" spans="1:11" x14ac:dyDescent="0.3">
      <c r="A30" t="s">
        <v>99</v>
      </c>
      <c r="B30" s="1">
        <v>46050</v>
      </c>
      <c r="C30" t="s">
        <v>32</v>
      </c>
      <c r="D30" t="s">
        <v>20</v>
      </c>
      <c r="E30" t="s">
        <v>14</v>
      </c>
      <c r="F30" t="s">
        <v>28</v>
      </c>
      <c r="G30">
        <v>1</v>
      </c>
      <c r="H30">
        <v>400</v>
      </c>
      <c r="I30">
        <v>400</v>
      </c>
      <c r="J30" t="s">
        <v>29</v>
      </c>
      <c r="K30" t="s">
        <v>100</v>
      </c>
    </row>
    <row r="31" spans="1:11" x14ac:dyDescent="0.3">
      <c r="A31" t="s">
        <v>101</v>
      </c>
      <c r="B31" s="1">
        <v>46055</v>
      </c>
      <c r="C31" t="s">
        <v>70</v>
      </c>
      <c r="D31" t="s">
        <v>49</v>
      </c>
      <c r="E31" t="s">
        <v>37</v>
      </c>
      <c r="F31" t="s">
        <v>15</v>
      </c>
      <c r="G31">
        <v>1</v>
      </c>
      <c r="H31">
        <v>80</v>
      </c>
      <c r="I31">
        <v>80</v>
      </c>
      <c r="J31" t="s">
        <v>22</v>
      </c>
      <c r="K31" t="s">
        <v>102</v>
      </c>
    </row>
    <row r="32" spans="1:11" x14ac:dyDescent="0.3">
      <c r="A32" t="s">
        <v>103</v>
      </c>
      <c r="B32" s="1">
        <v>46099</v>
      </c>
      <c r="C32" t="s">
        <v>52</v>
      </c>
      <c r="D32" t="s">
        <v>13</v>
      </c>
      <c r="E32" t="s">
        <v>25</v>
      </c>
      <c r="F32" t="s">
        <v>28</v>
      </c>
      <c r="G32">
        <v>2</v>
      </c>
      <c r="H32">
        <v>60</v>
      </c>
      <c r="I32">
        <v>120</v>
      </c>
      <c r="J32" t="s">
        <v>16</v>
      </c>
      <c r="K32" t="s">
        <v>104</v>
      </c>
    </row>
    <row r="33" spans="1:11" x14ac:dyDescent="0.3">
      <c r="A33" t="s">
        <v>105</v>
      </c>
      <c r="B33" s="1">
        <v>46027</v>
      </c>
      <c r="C33" t="s">
        <v>76</v>
      </c>
      <c r="D33" t="s">
        <v>36</v>
      </c>
      <c r="E33" t="s">
        <v>21</v>
      </c>
      <c r="F33" t="s">
        <v>15</v>
      </c>
      <c r="G33">
        <v>1</v>
      </c>
      <c r="H33">
        <v>55</v>
      </c>
      <c r="I33">
        <v>55</v>
      </c>
      <c r="J33" t="s">
        <v>42</v>
      </c>
      <c r="K33" t="s">
        <v>106</v>
      </c>
    </row>
    <row r="34" spans="1:11" x14ac:dyDescent="0.3">
      <c r="A34" t="s">
        <v>107</v>
      </c>
      <c r="B34" s="1">
        <v>46065</v>
      </c>
      <c r="C34" t="s">
        <v>73</v>
      </c>
      <c r="D34" t="s">
        <v>41</v>
      </c>
      <c r="E34" t="s">
        <v>14</v>
      </c>
      <c r="F34" t="s">
        <v>15</v>
      </c>
      <c r="G34">
        <v>1</v>
      </c>
      <c r="H34">
        <v>40</v>
      </c>
      <c r="I34">
        <v>40</v>
      </c>
      <c r="J34" t="s">
        <v>29</v>
      </c>
      <c r="K34" t="s">
        <v>108</v>
      </c>
    </row>
    <row r="35" spans="1:11" x14ac:dyDescent="0.3">
      <c r="A35" t="s">
        <v>109</v>
      </c>
      <c r="B35" s="1">
        <v>46082</v>
      </c>
      <c r="C35" t="s">
        <v>79</v>
      </c>
      <c r="D35" t="s">
        <v>49</v>
      </c>
      <c r="E35" t="s">
        <v>37</v>
      </c>
      <c r="F35" t="s">
        <v>28</v>
      </c>
      <c r="G35">
        <v>2</v>
      </c>
      <c r="H35">
        <v>90</v>
      </c>
      <c r="I35">
        <v>180</v>
      </c>
      <c r="J35" t="s">
        <v>22</v>
      </c>
      <c r="K35" t="s">
        <v>110</v>
      </c>
    </row>
    <row r="36" spans="1:11" x14ac:dyDescent="0.3">
      <c r="A36" t="s">
        <v>111</v>
      </c>
      <c r="B36" s="1">
        <v>46044</v>
      </c>
      <c r="C36" t="s">
        <v>82</v>
      </c>
      <c r="D36" t="s">
        <v>13</v>
      </c>
      <c r="E36" t="s">
        <v>25</v>
      </c>
      <c r="F36" t="s">
        <v>15</v>
      </c>
      <c r="G36">
        <v>1</v>
      </c>
      <c r="H36">
        <v>75</v>
      </c>
      <c r="I36">
        <v>75</v>
      </c>
      <c r="J36" t="s">
        <v>16</v>
      </c>
      <c r="K36" t="s">
        <v>112</v>
      </c>
    </row>
    <row r="37" spans="1:11" x14ac:dyDescent="0.3">
      <c r="A37" t="s">
        <v>113</v>
      </c>
      <c r="B37" s="1">
        <v>46068</v>
      </c>
      <c r="C37" t="s">
        <v>19</v>
      </c>
      <c r="D37" t="s">
        <v>20</v>
      </c>
      <c r="E37" t="s">
        <v>21</v>
      </c>
      <c r="F37" t="s">
        <v>28</v>
      </c>
      <c r="G37">
        <v>1</v>
      </c>
      <c r="H37">
        <v>200</v>
      </c>
      <c r="I37">
        <v>200</v>
      </c>
      <c r="J37" t="s">
        <v>42</v>
      </c>
      <c r="K37" t="s">
        <v>33</v>
      </c>
    </row>
    <row r="38" spans="1:11" x14ac:dyDescent="0.3">
      <c r="A38" t="s">
        <v>114</v>
      </c>
      <c r="B38" s="1">
        <v>46106</v>
      </c>
      <c r="C38" t="s">
        <v>115</v>
      </c>
      <c r="D38" t="s">
        <v>36</v>
      </c>
      <c r="E38" t="s">
        <v>14</v>
      </c>
      <c r="F38" t="s">
        <v>15</v>
      </c>
      <c r="G38">
        <v>2</v>
      </c>
      <c r="H38">
        <v>35</v>
      </c>
      <c r="I38">
        <v>70</v>
      </c>
      <c r="J38" t="s">
        <v>29</v>
      </c>
      <c r="K38" t="s">
        <v>116</v>
      </c>
    </row>
    <row r="39" spans="1:11" x14ac:dyDescent="0.3">
      <c r="A39" t="s">
        <v>117</v>
      </c>
      <c r="B39" s="1">
        <v>46030</v>
      </c>
      <c r="C39" t="s">
        <v>118</v>
      </c>
      <c r="D39" t="s">
        <v>41</v>
      </c>
      <c r="E39" t="s">
        <v>37</v>
      </c>
      <c r="F39" t="s">
        <v>15</v>
      </c>
      <c r="G39">
        <v>1</v>
      </c>
      <c r="H39">
        <v>30</v>
      </c>
      <c r="I39">
        <v>30</v>
      </c>
      <c r="J39" t="s">
        <v>22</v>
      </c>
      <c r="K39" t="s">
        <v>119</v>
      </c>
    </row>
    <row r="40" spans="1:11" x14ac:dyDescent="0.3">
      <c r="A40" t="s">
        <v>120</v>
      </c>
      <c r="B40" s="1">
        <v>46081</v>
      </c>
      <c r="C40" t="s">
        <v>48</v>
      </c>
      <c r="D40" t="s">
        <v>49</v>
      </c>
      <c r="E40" t="s">
        <v>25</v>
      </c>
      <c r="F40" t="s">
        <v>28</v>
      </c>
      <c r="G40">
        <v>2</v>
      </c>
      <c r="H40">
        <v>45</v>
      </c>
      <c r="I40">
        <v>90</v>
      </c>
      <c r="J40" t="s">
        <v>16</v>
      </c>
      <c r="K40" t="s">
        <v>121</v>
      </c>
    </row>
    <row r="41" spans="1:11" x14ac:dyDescent="0.3">
      <c r="A41" t="s">
        <v>122</v>
      </c>
      <c r="B41" s="1">
        <v>46091</v>
      </c>
      <c r="C41" t="s">
        <v>58</v>
      </c>
      <c r="D41" t="s">
        <v>20</v>
      </c>
      <c r="E41" t="s">
        <v>21</v>
      </c>
      <c r="F41" t="s">
        <v>15</v>
      </c>
      <c r="G41">
        <v>1</v>
      </c>
      <c r="H41">
        <v>450</v>
      </c>
      <c r="I41">
        <v>450</v>
      </c>
      <c r="J41" t="s">
        <v>42</v>
      </c>
      <c r="K41" t="s">
        <v>123</v>
      </c>
    </row>
    <row r="42" spans="1:11" x14ac:dyDescent="0.3">
      <c r="A42" t="s">
        <v>124</v>
      </c>
      <c r="B42" s="1">
        <v>46036</v>
      </c>
      <c r="C42" t="s">
        <v>12</v>
      </c>
      <c r="D42" t="s">
        <v>13</v>
      </c>
      <c r="E42" t="s">
        <v>14</v>
      </c>
      <c r="F42" t="s">
        <v>28</v>
      </c>
      <c r="G42">
        <v>1</v>
      </c>
      <c r="H42">
        <v>25</v>
      </c>
      <c r="I42">
        <v>25</v>
      </c>
      <c r="J42" t="s">
        <v>29</v>
      </c>
      <c r="K42" t="s">
        <v>125</v>
      </c>
    </row>
    <row r="43" spans="1:11" x14ac:dyDescent="0.3">
      <c r="A43" t="s">
        <v>126</v>
      </c>
      <c r="B43" s="1">
        <v>46073</v>
      </c>
      <c r="C43" t="s">
        <v>35</v>
      </c>
      <c r="D43" t="s">
        <v>36</v>
      </c>
      <c r="E43" t="s">
        <v>37</v>
      </c>
      <c r="F43" t="s">
        <v>15</v>
      </c>
      <c r="G43">
        <v>2</v>
      </c>
      <c r="H43">
        <v>20</v>
      </c>
      <c r="I43">
        <v>40</v>
      </c>
      <c r="J43" t="s">
        <v>22</v>
      </c>
      <c r="K43" t="s">
        <v>127</v>
      </c>
    </row>
    <row r="44" spans="1:11" x14ac:dyDescent="0.3">
      <c r="A44" t="s">
        <v>128</v>
      </c>
      <c r="B44" s="1">
        <v>46086</v>
      </c>
      <c r="C44" t="s">
        <v>40</v>
      </c>
      <c r="D44" t="s">
        <v>41</v>
      </c>
      <c r="E44" t="s">
        <v>25</v>
      </c>
      <c r="F44" t="s">
        <v>15</v>
      </c>
      <c r="G44">
        <v>1</v>
      </c>
      <c r="H44">
        <v>120</v>
      </c>
      <c r="I44">
        <v>120</v>
      </c>
      <c r="J44" t="s">
        <v>16</v>
      </c>
      <c r="K44" t="s">
        <v>129</v>
      </c>
    </row>
    <row r="45" spans="1:11" x14ac:dyDescent="0.3">
      <c r="A45" t="s">
        <v>130</v>
      </c>
      <c r="B45" s="1">
        <v>46048</v>
      </c>
      <c r="C45" t="s">
        <v>61</v>
      </c>
      <c r="D45" t="s">
        <v>49</v>
      </c>
      <c r="E45" t="s">
        <v>21</v>
      </c>
      <c r="F45" t="s">
        <v>28</v>
      </c>
      <c r="G45">
        <v>4</v>
      </c>
      <c r="H45">
        <v>15</v>
      </c>
      <c r="I45">
        <v>60</v>
      </c>
      <c r="J45" t="s">
        <v>42</v>
      </c>
      <c r="K45" t="s">
        <v>131</v>
      </c>
    </row>
    <row r="46" spans="1:11" x14ac:dyDescent="0.3">
      <c r="A46" t="s">
        <v>132</v>
      </c>
      <c r="B46" s="1">
        <v>46063</v>
      </c>
      <c r="C46" t="s">
        <v>67</v>
      </c>
      <c r="D46" t="s">
        <v>13</v>
      </c>
      <c r="E46" t="s">
        <v>14</v>
      </c>
      <c r="F46" t="s">
        <v>15</v>
      </c>
      <c r="G46">
        <v>1</v>
      </c>
      <c r="H46">
        <v>150</v>
      </c>
      <c r="I46">
        <v>150</v>
      </c>
      <c r="J46" t="s">
        <v>29</v>
      </c>
      <c r="K46" t="s">
        <v>133</v>
      </c>
    </row>
    <row r="47" spans="1:11" x14ac:dyDescent="0.3">
      <c r="A47" t="s">
        <v>134</v>
      </c>
      <c r="B47" s="1">
        <v>46096</v>
      </c>
      <c r="C47" t="s">
        <v>32</v>
      </c>
      <c r="D47" t="s">
        <v>20</v>
      </c>
      <c r="E47" t="s">
        <v>37</v>
      </c>
      <c r="F47" t="s">
        <v>15</v>
      </c>
      <c r="G47">
        <v>1</v>
      </c>
      <c r="H47">
        <v>400</v>
      </c>
      <c r="I47">
        <v>400</v>
      </c>
      <c r="J47" t="s">
        <v>22</v>
      </c>
      <c r="K47" t="s">
        <v>135</v>
      </c>
    </row>
    <row r="48" spans="1:11" x14ac:dyDescent="0.3">
      <c r="A48" t="s">
        <v>136</v>
      </c>
      <c r="B48" s="1">
        <v>46052</v>
      </c>
      <c r="C48" t="s">
        <v>76</v>
      </c>
      <c r="D48" t="s">
        <v>36</v>
      </c>
      <c r="E48" t="s">
        <v>25</v>
      </c>
      <c r="F48" t="s">
        <v>28</v>
      </c>
      <c r="G48">
        <v>1</v>
      </c>
      <c r="H48">
        <v>55</v>
      </c>
      <c r="I48">
        <v>55</v>
      </c>
      <c r="J48" t="s">
        <v>16</v>
      </c>
      <c r="K48" t="s">
        <v>137</v>
      </c>
    </row>
    <row r="49" spans="1:11" x14ac:dyDescent="0.3">
      <c r="A49" t="s">
        <v>138</v>
      </c>
      <c r="B49" s="1">
        <v>46058</v>
      </c>
      <c r="C49" t="s">
        <v>73</v>
      </c>
      <c r="D49" t="s">
        <v>41</v>
      </c>
      <c r="E49" t="s">
        <v>21</v>
      </c>
      <c r="F49" t="s">
        <v>15</v>
      </c>
      <c r="G49">
        <v>2</v>
      </c>
      <c r="H49">
        <v>40</v>
      </c>
      <c r="I49">
        <v>80</v>
      </c>
      <c r="J49" t="s">
        <v>42</v>
      </c>
      <c r="K49" t="s">
        <v>139</v>
      </c>
    </row>
    <row r="50" spans="1:11" x14ac:dyDescent="0.3">
      <c r="A50" t="s">
        <v>140</v>
      </c>
      <c r="B50" s="1">
        <v>46103</v>
      </c>
      <c r="C50" t="s">
        <v>79</v>
      </c>
      <c r="D50" t="s">
        <v>49</v>
      </c>
      <c r="E50" t="s">
        <v>14</v>
      </c>
      <c r="F50" t="s">
        <v>28</v>
      </c>
      <c r="G50">
        <v>1</v>
      </c>
      <c r="H50">
        <v>90</v>
      </c>
      <c r="I50">
        <v>90</v>
      </c>
      <c r="J50" t="s">
        <v>29</v>
      </c>
      <c r="K50" t="s">
        <v>141</v>
      </c>
    </row>
    <row r="51" spans="1:11" x14ac:dyDescent="0.3">
      <c r="A51" t="s">
        <v>142</v>
      </c>
      <c r="B51" s="1">
        <v>46034</v>
      </c>
      <c r="C51" t="s">
        <v>82</v>
      </c>
      <c r="D51" t="s">
        <v>13</v>
      </c>
      <c r="E51" t="s">
        <v>37</v>
      </c>
      <c r="F51" t="s">
        <v>15</v>
      </c>
      <c r="G51">
        <v>1</v>
      </c>
      <c r="H51">
        <v>75</v>
      </c>
      <c r="I51">
        <v>75</v>
      </c>
      <c r="J51" t="s">
        <v>22</v>
      </c>
      <c r="K51" t="s">
        <v>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 by Region</vt:lpstr>
      <vt:lpstr>Top 5 Products</vt:lpstr>
      <vt:lpstr>Sales Channel Split</vt:lpstr>
      <vt:lpstr>Monthly Sales Trend</vt:lpstr>
      <vt:lpstr>Category Trend</vt:lpstr>
      <vt:lpstr>DashBoard</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devanshikanthariya1277@gmail.com</dc:creator>
  <cp:lastModifiedBy>devanshikanthariya1277@gmail.com</cp:lastModifiedBy>
  <dcterms:created xsi:type="dcterms:W3CDTF">2026-06-07T19:03:49Z</dcterms:created>
  <dcterms:modified xsi:type="dcterms:W3CDTF">2026-06-07T20:37:44Z</dcterms:modified>
</cp:coreProperties>
</file>